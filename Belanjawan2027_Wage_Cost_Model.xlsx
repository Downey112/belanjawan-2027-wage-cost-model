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ssumptions" sheetId="2" state="visible" r:id="rId2"/>
    <sheet name="Benchmark Comparison" sheetId="3" state="visible" r:id="rId3"/>
    <sheet name="Headcount Budget" sheetId="4" state="visible" r:id="rId4"/>
    <sheet name="Wage Lad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-&quot;"/>
    <numFmt numFmtId="165" formatCode="0.00%;(0.00%);&quot;-&quot;"/>
    <numFmt numFmtId="166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0" borderId="0" pivotButton="0" quotePrefix="0" xfId="0"/>
    <xf numFmtId="165" fontId="6" fillId="4" borderId="0" pivotButton="0" quotePrefix="0" xfId="0"/>
    <xf numFmtId="0" fontId="2" fillId="4" borderId="0" applyAlignment="1" pivotButton="0" quotePrefix="0" xfId="0">
      <alignment vertical="top" wrapText="1"/>
    </xf>
    <xf numFmtId="164" fontId="6" fillId="4" borderId="0" pivotButton="0" quotePrefix="0" xfId="0"/>
    <xf numFmtId="166" fontId="6" fillId="4" borderId="0" pivotButton="0" quotePrefix="0" xfId="0"/>
    <xf numFmtId="166" fontId="6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2" fillId="4" borderId="0" pivotButton="0" quotePrefix="0" xfId="0"/>
    <xf numFmtId="165" fontId="5" fillId="0" borderId="0" pivotButton="0" quotePrefix="0" xfId="0"/>
    <xf numFmtId="164" fontId="6" fillId="5" borderId="0" pivotButton="0" quotePrefix="0" xfId="0"/>
    <xf numFmtId="164" fontId="5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7" fillId="0" borderId="1" pivotButton="0" quotePrefix="0" xfId="0"/>
    <xf numFmtId="166" fontId="6" fillId="5" borderId="0" pivotButton="0" quotePrefix="0" xfId="0"/>
    <xf numFmtId="0" fontId="4" fillId="0" borderId="1" pivotButton="0" quotePrefix="0" xfId="0"/>
    <xf numFmtId="0" fontId="2" fillId="0" borderId="1" pivotButton="0" quotePrefix="0" xfId="0"/>
    <xf numFmtId="166" fontId="7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fully loaded monthly cost goes (RM)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'Benchmark Comparison'!H3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'Benchmark Comparison'!$G$4:$G$7</f>
            </numRef>
          </cat>
          <val>
            <numRef>
              <f>'Benchmark Comparison'!$H$4:$H$7</f>
            </numRef>
          </val>
        </ser>
        <ser>
          <idx val="1"/>
          <order val="1"/>
          <tx>
            <strRef>
              <f>'Benchmark Comparison'!I3</f>
            </strRef>
          </tx>
          <spPr>
            <a:solidFill>
              <a:srgbClr val="A6A6A6"/>
            </a:solidFill>
            <a:ln>
              <a:solidFill>
                <a:srgbClr val="A6A6A6"/>
              </a:solidFill>
              <a:prstDash val="solid"/>
            </a:ln>
          </spPr>
          <cat>
            <numRef>
              <f>'Benchmark Comparison'!$G$4:$G$7</f>
            </numRef>
          </cat>
          <val>
            <numRef>
              <f>'Benchmark Comparison'!$I$4:$I$7</f>
            </numRef>
          </val>
        </ser>
        <ser>
          <idx val="2"/>
          <order val="2"/>
          <tx>
            <strRef>
              <f>'Benchmark Comparison'!J3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'Benchmark Comparison'!$G$4:$G$7</f>
            </numRef>
          </cat>
          <val>
            <numRef>
              <f>'Benchmark Comparison'!$J$4:$J$7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RM per month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Fully loaded cost vs net take-home by gross wage (RM / month)</a:t>
            </a:r>
          </a:p>
        </rich>
      </tx>
    </title>
    <plotArea>
      <lineChart>
        <grouping val="standard"/>
        <ser>
          <idx val="0"/>
          <order val="0"/>
          <tx>
            <strRef>
              <f>'Wage Ladder'!G5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'Wage Ladder'!$A$6:$A$22</f>
            </numRef>
          </cat>
          <val>
            <numRef>
              <f>'Wage Ladder'!$G$6:$G$22</f>
            </numRef>
          </val>
          <smooth val="0"/>
        </ser>
        <ser>
          <idx val="1"/>
          <order val="1"/>
          <tx>
            <strRef>
              <f>'Wage Ladder'!O5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'Wage Ladder'!$A$6:$A$22</f>
            </numRef>
          </cat>
          <val>
            <numRef>
              <f>'Wage Ladder'!$O$6:$O$22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Gross monthly wage (RM)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RM per month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Belanjawan 2027 Fresh Graduate Wage Cost Model</t>
        </is>
      </c>
    </row>
    <row r="2">
      <c r="A2" s="2" t="inlineStr">
        <is>
          <t>Fully loaded employer cost and employee take-home pay at the three Belanjawan 2027 wage benchmarks.</t>
        </is>
      </c>
    </row>
    <row r="4" ht="32" customHeight="1">
      <c r="A4" s="3" t="inlineStr">
        <is>
          <t>Headline (RM / month)</t>
        </is>
      </c>
      <c r="B4" s="3" t="inlineStr">
        <is>
          <t>National Minimum Wage</t>
        </is>
      </c>
      <c r="C4" s="3" t="inlineStr">
        <is>
          <t>Fresh Graduate Floor</t>
        </is>
      </c>
      <c r="D4" s="3" t="inlineStr">
        <is>
          <t>GLC / GLIC Living Wage</t>
        </is>
      </c>
    </row>
    <row r="5">
      <c r="A5" s="4" t="inlineStr">
        <is>
          <t>Gross monthly wage</t>
        </is>
      </c>
      <c r="B5" s="5">
        <f>'Benchmark Comparison'!B6</f>
        <v/>
      </c>
      <c r="C5" s="5">
        <f>'Benchmark Comparison'!C6</f>
        <v/>
      </c>
      <c r="D5" s="5">
        <f>'Benchmark Comparison'!D6</f>
        <v/>
      </c>
    </row>
    <row r="6">
      <c r="A6" s="4" t="inlineStr">
        <is>
          <t>Employer on-costs</t>
        </is>
      </c>
      <c r="B6" s="5">
        <f>'Benchmark Comparison'!B13</f>
        <v/>
      </c>
      <c r="C6" s="5">
        <f>'Benchmark Comparison'!C13</f>
        <v/>
      </c>
      <c r="D6" s="5">
        <f>'Benchmark Comparison'!D13</f>
        <v/>
      </c>
    </row>
    <row r="7">
      <c r="A7" s="4" t="inlineStr">
        <is>
          <t>Fully loaded monthly cost</t>
        </is>
      </c>
      <c r="B7" s="5">
        <f>'Benchmark Comparison'!B14</f>
        <v/>
      </c>
      <c r="C7" s="5">
        <f>'Benchmark Comparison'!C14</f>
        <v/>
      </c>
      <c r="D7" s="5">
        <f>'Benchmark Comparison'!D14</f>
        <v/>
      </c>
    </row>
    <row r="8">
      <c r="A8" s="4" t="inlineStr">
        <is>
          <t>On-costs as % of gross wage</t>
        </is>
      </c>
      <c r="B8" s="6">
        <f>'Benchmark Comparison'!B15</f>
        <v/>
      </c>
      <c r="C8" s="6">
        <f>'Benchmark Comparison'!C15</f>
        <v/>
      </c>
      <c r="D8" s="6">
        <f>'Benchmark Comparison'!D15</f>
        <v/>
      </c>
    </row>
    <row r="9">
      <c r="A9" s="4" t="inlineStr">
        <is>
          <t>Net take-home pay</t>
        </is>
      </c>
      <c r="B9" s="5">
        <f>'Benchmark Comparison'!B24</f>
        <v/>
      </c>
      <c r="C9" s="5">
        <f>'Benchmark Comparison'!C24</f>
        <v/>
      </c>
      <c r="D9" s="5">
        <f>'Benchmark Comparison'!D24</f>
        <v/>
      </c>
    </row>
    <row r="10">
      <c r="A10" s="4" t="inlineStr">
        <is>
          <t>PCB / MTD</t>
        </is>
      </c>
      <c r="B10" s="5">
        <f>'Benchmark Comparison'!B22</f>
        <v/>
      </c>
      <c r="C10" s="5">
        <f>'Benchmark Comparison'!C22</f>
        <v/>
      </c>
      <c r="D10" s="5">
        <f>'Benchmark Comparison'!D22</f>
        <v/>
      </c>
    </row>
    <row r="11">
      <c r="A11" s="4" t="inlineStr">
        <is>
          <t>Fully loaded annual cost</t>
        </is>
      </c>
      <c r="B11" s="5">
        <f>'Benchmark Comparison'!B16</f>
        <v/>
      </c>
      <c r="C11" s="5">
        <f>'Benchmark Comparison'!C16</f>
        <v/>
      </c>
      <c r="D11" s="5">
        <f>'Benchmark Comparison'!D16</f>
        <v/>
      </c>
    </row>
    <row r="14">
      <c r="A14" s="7" t="inlineStr">
        <is>
          <t>How to use this workbook</t>
        </is>
      </c>
    </row>
    <row r="15">
      <c r="A15" s="7" t="inlineStr">
        <is>
          <t>Assumptions</t>
        </is>
      </c>
      <c r="B15" s="4" t="inlineStr">
        <is>
          <t>Every rate, cap, relief and tax band. Change a blue value and the whole model updates.</t>
        </is>
      </c>
    </row>
    <row r="16">
      <c r="A16" s="7" t="inlineStr">
        <is>
          <t>Benchmark Comparison</t>
        </is>
      </c>
      <c r="B16" s="4" t="inlineStr">
        <is>
          <t>Side-by-side payslip and employer cost for each benchmark, plus a custom wage (yellow cell E4).</t>
        </is>
      </c>
    </row>
    <row r="17">
      <c r="A17" s="7" t="inlineStr">
        <is>
          <t>Headcount Budget</t>
        </is>
      </c>
      <c r="B17" s="4" t="inlineStr">
        <is>
          <t>Annual payroll budget for a hiring plan and the cost of moving staff up a benchmark (yellow headcounts).</t>
        </is>
      </c>
    </row>
    <row r="18">
      <c r="A18" s="7" t="inlineStr">
        <is>
          <t>Wage Ladder</t>
        </is>
      </c>
      <c r="B18" s="4" t="inlineStr">
        <is>
          <t>Cost and take-home across a range of wages, with a chart (yellow start and step).</t>
        </is>
      </c>
    </row>
    <row r="21">
      <c r="A21" s="7" t="inlineStr">
        <is>
          <t>Colour legend</t>
        </is>
      </c>
    </row>
    <row r="22">
      <c r="A22" s="8" t="inlineStr">
        <is>
          <t>Blue text</t>
        </is>
      </c>
      <c r="B22" s="4" t="inlineStr">
        <is>
          <t>Hardcoded input you can edit</t>
        </is>
      </c>
    </row>
    <row r="23">
      <c r="A23" s="4" t="inlineStr">
        <is>
          <t>Black text</t>
        </is>
      </c>
      <c r="B23" s="4" t="inlineStr">
        <is>
          <t>Formula - do not overwrite</t>
        </is>
      </c>
    </row>
    <row r="24">
      <c r="A24" s="9" t="inlineStr">
        <is>
          <t>Green text</t>
        </is>
      </c>
      <c r="B24" s="4" t="inlineStr">
        <is>
          <t>Value linked from another sheet</t>
        </is>
      </c>
    </row>
    <row r="25">
      <c r="A25" s="10" t="inlineStr">
        <is>
          <t>Yellow fill</t>
        </is>
      </c>
      <c r="B25" s="4" t="inlineStr">
        <is>
          <t>Scenario lever: the cells meant to be changed (example values pre-filled)</t>
        </is>
      </c>
    </row>
    <row r="26">
      <c r="A26" s="11" t="inlineStr">
        <is>
          <t>Orange fill</t>
        </is>
      </c>
      <c r="B26" s="4" t="inlineStr">
        <is>
          <t>Assumption to verify against the official schedule before relying on the output</t>
        </is>
      </c>
    </row>
    <row r="28">
      <c r="A28" s="7" t="inlineStr">
        <is>
          <t>Source and limits</t>
        </is>
      </c>
    </row>
    <row r="29">
      <c r="A29" s="2" t="inlineStr">
        <is>
          <t>Parameters were supplied by the model author from a Belanjawan 2027 brief and have not been checked against gazetted schedules. Illustrative only; not payroll or tax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95" customWidth="1" min="4" max="4"/>
  </cols>
  <sheetData>
    <row r="1">
      <c r="A1" s="1" t="inlineStr">
        <is>
          <t>Assumptions - Belanjawan 2027 Wage Parameters</t>
        </is>
      </c>
    </row>
    <row r="2">
      <c r="A2" s="2" t="inlineStr">
        <is>
          <t>Blue = editable input. Every other sheet reads from here. Orange rows are figures worth verifying against the official schedule.</t>
        </is>
      </c>
    </row>
    <row r="4" ht="32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note</t>
        </is>
      </c>
    </row>
    <row r="5">
      <c r="A5" s="12" t="inlineStr">
        <is>
          <t>Wage benchmarks</t>
        </is>
      </c>
      <c r="B5" s="13" t="n"/>
      <c r="C5" s="13" t="n"/>
      <c r="D5" s="13" t="n"/>
    </row>
    <row r="6">
      <c r="A6" s="4" t="inlineStr">
        <is>
          <t>National Minimum Wage</t>
        </is>
      </c>
      <c r="B6" s="14" t="n">
        <v>2000</v>
      </c>
      <c r="C6" s="4" t="inlineStr">
        <is>
          <t>RM / month</t>
        </is>
      </c>
      <c r="D6" s="15" t="inlineStr">
        <is>
          <t>Provided by user (Belanjawan 2027 brief). Effective June 2027; MSMEs under RM50m turnover temporarily exempt.</t>
        </is>
      </c>
    </row>
    <row r="7">
      <c r="A7" s="4" t="inlineStr">
        <is>
          <t>Fresh Graduate &amp; Semi-Skilled Floor</t>
        </is>
      </c>
      <c r="B7" s="14" t="n">
        <v>2500</v>
      </c>
      <c r="C7" s="4" t="inlineStr">
        <is>
          <t>RM / month</t>
        </is>
      </c>
      <c r="D7" s="15" t="inlineStr">
        <is>
          <t>Provided by user (Belanjawan 2027 brief).</t>
        </is>
      </c>
    </row>
    <row r="8">
      <c r="A8" s="4" t="inlineStr">
        <is>
          <t>GLC / GLIC Living Wage Benchmark</t>
        </is>
      </c>
      <c r="B8" s="14" t="n">
        <v>3400</v>
      </c>
      <c r="C8" s="4" t="inlineStr">
        <is>
          <t>RM / month</t>
        </is>
      </c>
      <c r="D8" s="15" t="inlineStr">
        <is>
          <t>Provided by user (Belanjawan 2027 brief).</t>
        </is>
      </c>
    </row>
    <row r="9">
      <c r="A9" s="12" t="inlineStr">
        <is>
          <t>Employer on-costs</t>
        </is>
      </c>
      <c r="B9" s="13" t="n"/>
      <c r="C9" s="13" t="n"/>
      <c r="D9" s="13" t="n"/>
    </row>
    <row r="10">
      <c r="A10" s="4" t="inlineStr">
        <is>
          <t>EPF employer rate (wage at or below threshold)</t>
        </is>
      </c>
      <c r="B10" s="16" t="n">
        <v>0.13</v>
      </c>
      <c r="C10" s="4" t="inlineStr">
        <is>
          <t>% of wage</t>
        </is>
      </c>
      <c r="D10" s="15" t="inlineStr">
        <is>
          <t>Provided by user (Belanjawan 2027 brief).</t>
        </is>
      </c>
    </row>
    <row r="11">
      <c r="A11" s="11" t="inlineStr">
        <is>
          <t>EPF employer rate (wage above threshold)</t>
        </is>
      </c>
      <c r="B11" s="17" t="n">
        <v>0.12</v>
      </c>
      <c r="C11" s="11" t="inlineStr">
        <is>
          <t>% of wage</t>
        </is>
      </c>
      <c r="D11" s="18" t="inlineStr">
        <is>
          <t>Model assumption, not in the brief: current KWSP Third Schedule rate for wages above RM5,000.</t>
        </is>
      </c>
    </row>
    <row r="12">
      <c r="A12" s="4" t="inlineStr">
        <is>
          <t>EPF rate threshold</t>
        </is>
      </c>
      <c r="B12" s="14" t="n">
        <v>5000</v>
      </c>
      <c r="C12" s="4" t="inlineStr">
        <is>
          <t>RM / month</t>
        </is>
      </c>
      <c r="D12" s="15" t="inlineStr">
        <is>
          <t>Provided by user (Belanjawan 2027 brief).</t>
        </is>
      </c>
    </row>
    <row r="13">
      <c r="A13" s="4" t="inlineStr">
        <is>
          <t>SOCSO employer rate (Employment Injury &amp; Invalidity)</t>
        </is>
      </c>
      <c r="B13" s="16" t="n">
        <v>0.0175</v>
      </c>
      <c r="C13" s="4" t="inlineStr">
        <is>
          <t>% of wage</t>
        </is>
      </c>
      <c r="D13" s="15" t="inlineStr">
        <is>
          <t>Provided by user (Belanjawan 2027 brief) (stated as approx. 1.75%).</t>
        </is>
      </c>
    </row>
    <row r="14">
      <c r="A14" s="11" t="inlineStr">
        <is>
          <t>SOCSO employer cap</t>
        </is>
      </c>
      <c r="B14" s="19" t="n">
        <v>103.65</v>
      </c>
      <c r="C14" s="11" t="inlineStr">
        <is>
          <t>RM / month</t>
        </is>
      </c>
      <c r="D14" s="18" t="inlineStr">
        <is>
          <t>Provided by user (Belanjawan 2027 brief). Check: 1.75% x RM6,000 = RM105.00 and the current PERKESO table shows RM104.15 at the RM6,000 ceiling, so RM103.65 looks slightly low.</t>
        </is>
      </c>
    </row>
    <row r="15">
      <c r="A15" s="4" t="inlineStr">
        <is>
          <t>EIS employer rate</t>
        </is>
      </c>
      <c r="B15" s="16" t="n">
        <v>0.002</v>
      </c>
      <c r="C15" s="4" t="inlineStr">
        <is>
          <t>% of wage</t>
        </is>
      </c>
      <c r="D15" s="15" t="inlineStr">
        <is>
          <t>Provided by user (Belanjawan 2027 brief).</t>
        </is>
      </c>
    </row>
    <row r="16">
      <c r="A16" s="4" t="inlineStr">
        <is>
          <t>EIS employer cap</t>
        </is>
      </c>
      <c r="B16" s="14" t="n">
        <v>11.9</v>
      </c>
      <c r="C16" s="4" t="inlineStr">
        <is>
          <t>RM / month</t>
        </is>
      </c>
      <c r="D16" s="15" t="inlineStr">
        <is>
          <t>Provided by user (Belanjawan 2027 brief).</t>
        </is>
      </c>
    </row>
    <row r="17">
      <c r="A17" s="4" t="inlineStr">
        <is>
          <t>SOCSO / EIS insured wage ceiling</t>
        </is>
      </c>
      <c r="B17" s="14" t="n">
        <v>6000</v>
      </c>
      <c r="C17" s="4" t="inlineStr">
        <is>
          <t>RM / month</t>
        </is>
      </c>
      <c r="D17" s="15" t="inlineStr">
        <is>
          <t>Provided by user (Belanjawan 2027 brief).</t>
        </is>
      </c>
    </row>
    <row r="18">
      <c r="A18" s="4" t="inlineStr">
        <is>
          <t>HRD Corp levy rate</t>
        </is>
      </c>
      <c r="B18" s="16" t="n">
        <v>0.01</v>
      </c>
      <c r="C18" s="4" t="inlineStr">
        <is>
          <t>% of basic + fixed allowances</t>
        </is>
      </c>
      <c r="D18" s="15" t="inlineStr">
        <is>
          <t>Provided by user (Belanjawan 2027 brief).</t>
        </is>
      </c>
    </row>
    <row r="19">
      <c r="A19" s="12" t="inlineStr">
        <is>
          <t>Employee deductions</t>
        </is>
      </c>
      <c r="B19" s="13" t="n"/>
      <c r="C19" s="13" t="n"/>
      <c r="D19" s="13" t="n"/>
    </row>
    <row r="20">
      <c r="A20" s="4" t="inlineStr">
        <is>
          <t>EPF employee rate</t>
        </is>
      </c>
      <c r="B20" s="16" t="n">
        <v>0.11</v>
      </c>
      <c r="C20" s="4" t="inlineStr">
        <is>
          <t>% of wage</t>
        </is>
      </c>
      <c r="D20" s="15" t="inlineStr">
        <is>
          <t>Provided by user (Belanjawan 2027 brief).</t>
        </is>
      </c>
    </row>
    <row r="21">
      <c r="A21" s="4" t="inlineStr">
        <is>
          <t>SOCSO employee rate</t>
        </is>
      </c>
      <c r="B21" s="16" t="n">
        <v>0.005</v>
      </c>
      <c r="C21" s="4" t="inlineStr">
        <is>
          <t>% of wage</t>
        </is>
      </c>
      <c r="D21" s="15" t="inlineStr">
        <is>
          <t>Provided by user (Belanjawan 2027 brief) (stated as approx. 0.50%).</t>
        </is>
      </c>
    </row>
    <row r="22">
      <c r="A22" s="11" t="inlineStr">
        <is>
          <t>SOCSO employee cap</t>
        </is>
      </c>
      <c r="B22" s="19" t="n">
        <v>29.65</v>
      </c>
      <c r="C22" s="11" t="inlineStr">
        <is>
          <t>RM / month</t>
        </is>
      </c>
      <c r="D22" s="18" t="inlineStr">
        <is>
          <t>Provided by user (Belanjawan 2027 brief). Check: 0.5% x RM6,000 = RM30.00 and the current PERKESO table shows RM29.75 at the ceiling.</t>
        </is>
      </c>
    </row>
    <row r="23">
      <c r="A23" s="4" t="inlineStr">
        <is>
          <t>EIS employee rate</t>
        </is>
      </c>
      <c r="B23" s="16" t="n">
        <v>0.002</v>
      </c>
      <c r="C23" s="4" t="inlineStr">
        <is>
          <t>% of wage</t>
        </is>
      </c>
      <c r="D23" s="15" t="inlineStr">
        <is>
          <t>Provided by user (Belanjawan 2027 brief).</t>
        </is>
      </c>
    </row>
    <row r="24">
      <c r="A24" s="4" t="inlineStr">
        <is>
          <t>EIS employee cap</t>
        </is>
      </c>
      <c r="B24" s="14" t="n">
        <v>11.9</v>
      </c>
      <c r="C24" s="4" t="inlineStr">
        <is>
          <t>RM / month</t>
        </is>
      </c>
      <c r="D24" s="15" t="inlineStr">
        <is>
          <t>Provided by user (Belanjawan 2027 brief).</t>
        </is>
      </c>
    </row>
    <row r="25">
      <c r="A25" s="12" t="inlineStr">
        <is>
          <t>Income tax (PCB / MTD)</t>
        </is>
      </c>
      <c r="B25" s="13" t="n"/>
      <c r="C25" s="13" t="n"/>
      <c r="D25" s="13" t="n"/>
    </row>
    <row r="26">
      <c r="A26" s="11" t="inlineStr">
        <is>
          <t>Individual relief</t>
        </is>
      </c>
      <c r="B26" s="20" t="n">
        <v>12000</v>
      </c>
      <c r="C26" s="11" t="inlineStr">
        <is>
          <t>RM / year</t>
        </is>
      </c>
      <c r="D26" s="18" t="inlineStr">
        <is>
          <t>Provided by user (Belanjawan 2027 brief). Current statutory individual relief is RM9,000, so RM12,000 is a Belanjawan 2027 figure to confirm against the Finance Bill.</t>
        </is>
      </c>
    </row>
    <row r="27">
      <c r="A27" s="11" t="inlineStr">
        <is>
          <t>EPF relief cap</t>
        </is>
      </c>
      <c r="B27" s="20" t="n">
        <v>4000</v>
      </c>
      <c r="C27" s="11" t="inlineStr">
        <is>
          <t>RM / year</t>
        </is>
      </c>
      <c r="D27" s="18" t="inlineStr">
        <is>
          <t>Model assumption, not in the brief: current LHDN cap on EPF contributions relief.</t>
        </is>
      </c>
    </row>
    <row r="28">
      <c r="A28" s="4" t="inlineStr">
        <is>
          <t>Other reliefs (per employee)</t>
        </is>
      </c>
      <c r="B28" s="21" t="n">
        <v>0</v>
      </c>
      <c r="C28" s="4" t="inlineStr">
        <is>
          <t>RM / year</t>
        </is>
      </c>
      <c r="D28" s="15" t="inlineStr">
        <is>
          <t>Model assumption: zero. Add lifestyle, SOCSO, medical etc. here if needed.</t>
        </is>
      </c>
    </row>
    <row r="29">
      <c r="A29" s="4" t="inlineStr">
        <is>
          <t>Individual tax rebate</t>
        </is>
      </c>
      <c r="B29" s="21" t="n">
        <v>400</v>
      </c>
      <c r="C29" s="4" t="inlineStr">
        <is>
          <t>RM / year</t>
        </is>
      </c>
      <c r="D29" s="15" t="inlineStr">
        <is>
          <t>Provided by user (Belanjawan 2027 brief).</t>
        </is>
      </c>
    </row>
    <row r="30">
      <c r="A30" s="11" t="inlineStr">
        <is>
          <t>Rebate chargeable-income limit</t>
        </is>
      </c>
      <c r="B30" s="20" t="n">
        <v>35000</v>
      </c>
      <c r="C30" s="11" t="inlineStr">
        <is>
          <t>RM / year</t>
        </is>
      </c>
      <c r="D30" s="18" t="inlineStr">
        <is>
          <t>Model assumption, not in the brief: current LHDN limit for the RM400 rebate.</t>
        </is>
      </c>
    </row>
    <row r="32">
      <c r="A32" s="22" t="inlineStr">
        <is>
          <t>Resident individual tax brackets</t>
        </is>
      </c>
      <c r="B32" s="23" t="n"/>
      <c r="C32" s="23" t="n"/>
      <c r="D32" s="24" t="inlineStr">
        <is>
          <t>Model assumption, not in the brief: current LHDN resident rates (YA 2025). Replace if Belanjawan 2027 changes the bands.</t>
        </is>
      </c>
    </row>
    <row r="33" ht="32" customHeight="1">
      <c r="A33" s="3" t="inlineStr">
        <is>
          <t>Chargeable income above (RM)</t>
        </is>
      </c>
      <c r="B33" s="3" t="inlineStr">
        <is>
          <t>Marginal rate</t>
        </is>
      </c>
      <c r="C33" s="3" t="inlineStr">
        <is>
          <t>Incremental rate</t>
        </is>
      </c>
      <c r="D33" s="3" t="inlineStr"/>
    </row>
    <row r="34">
      <c r="A34" s="21" t="n">
        <v>0</v>
      </c>
      <c r="B34" s="16" t="n">
        <v>0</v>
      </c>
      <c r="C34" s="25">
        <f>B34</f>
        <v/>
      </c>
    </row>
    <row r="35">
      <c r="A35" s="21" t="n">
        <v>5000</v>
      </c>
      <c r="B35" s="16" t="n">
        <v>0.01</v>
      </c>
      <c r="C35" s="25">
        <f>B35-B34</f>
        <v/>
      </c>
    </row>
    <row r="36">
      <c r="A36" s="21" t="n">
        <v>20000</v>
      </c>
      <c r="B36" s="16" t="n">
        <v>0.03</v>
      </c>
      <c r="C36" s="25">
        <f>B36-B35</f>
        <v/>
      </c>
    </row>
    <row r="37">
      <c r="A37" s="21" t="n">
        <v>35000</v>
      </c>
      <c r="B37" s="16" t="n">
        <v>0.06</v>
      </c>
      <c r="C37" s="25">
        <f>B37-B36</f>
        <v/>
      </c>
    </row>
    <row r="38">
      <c r="A38" s="21" t="n">
        <v>50000</v>
      </c>
      <c r="B38" s="16" t="n">
        <v>0.11</v>
      </c>
      <c r="C38" s="25">
        <f>B38-B37</f>
        <v/>
      </c>
    </row>
    <row r="39">
      <c r="A39" s="21" t="n">
        <v>70000</v>
      </c>
      <c r="B39" s="16" t="n">
        <v>0.19</v>
      </c>
      <c r="C39" s="25">
        <f>B39-B38</f>
        <v/>
      </c>
    </row>
    <row r="40">
      <c r="A40" s="21" t="n">
        <v>100000</v>
      </c>
      <c r="B40" s="16" t="n">
        <v>0.25</v>
      </c>
      <c r="C40" s="25">
        <f>B40-B39</f>
        <v/>
      </c>
    </row>
    <row r="41">
      <c r="A41" s="21" t="n">
        <v>400000</v>
      </c>
      <c r="B41" s="16" t="n">
        <v>0.26</v>
      </c>
      <c r="C41" s="25">
        <f>B41-B40</f>
        <v/>
      </c>
    </row>
    <row r="42">
      <c r="A42" s="21" t="n">
        <v>600000</v>
      </c>
      <c r="B42" s="16" t="n">
        <v>0.28</v>
      </c>
      <c r="C42" s="25">
        <f>B42-B41</f>
        <v/>
      </c>
    </row>
    <row r="43">
      <c r="A43" s="21" t="n">
        <v>2000000</v>
      </c>
      <c r="B43" s="16" t="n">
        <v>0.3</v>
      </c>
      <c r="C43" s="25">
        <f>B43-B42</f>
        <v/>
      </c>
    </row>
    <row r="45">
      <c r="A45" s="7" t="inlineStr">
        <is>
          <t>Modelling simplifications</t>
        </is>
      </c>
    </row>
    <row r="46">
      <c r="A46" s="2" t="inlineStr">
        <is>
          <t>Contributions use the percentage method. Actual EPF, SOCSO and EIS payments follow banded contribution schedules, so real payslips can differ by a few ringgit.</t>
        </is>
      </c>
    </row>
    <row r="47">
      <c r="A47" s="2" t="inlineStr">
        <is>
          <t>All statutory bases use gross monthly wage (basic + fixed cash allowances).</t>
        </is>
      </c>
    </row>
    <row r="48">
      <c r="A48" s="2" t="inlineStr">
        <is>
          <t>PCB is annual tax payable divided by 12 for a single resident with no other income or reliefs.</t>
        </is>
      </c>
    </row>
    <row r="49">
      <c r="A49" s="2" t="inlineStr">
        <is>
          <t>No bonus, overtime, benefits-in-kind, medical cover or recruitment cost is included.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Benchmark Comparison - Employer Cost and Employee Take-Home</t>
        </is>
      </c>
    </row>
    <row r="2">
      <c r="A2" s="2" t="inlineStr">
        <is>
          <t>All amounts in RM per month unless stated. Yellow cell = type your own wage. Green = linked from Assumptions.</t>
        </is>
      </c>
    </row>
    <row r="3" ht="32" customHeight="1">
      <c r="A3" s="3" t="inlineStr">
        <is>
          <t>Item (RM)</t>
        </is>
      </c>
      <c r="B3" s="3" t="inlineStr">
        <is>
          <t>National Minimum Wage</t>
        </is>
      </c>
      <c r="C3" s="3" t="inlineStr">
        <is>
          <t>Fresh Graduate Floor</t>
        </is>
      </c>
      <c r="D3" s="3" t="inlineStr">
        <is>
          <t>GLC / GLIC Living Wage</t>
        </is>
      </c>
      <c r="E3" s="3" t="inlineStr">
        <is>
          <t>Custom Scenario</t>
        </is>
      </c>
      <c r="G3" s="7" t="inlineStr">
        <is>
          <t>Chart data</t>
        </is>
      </c>
      <c r="H3" s="7" t="inlineStr">
        <is>
          <t>Net take-home pay</t>
        </is>
      </c>
      <c r="I3" s="7" t="inlineStr">
        <is>
          <t>Employee deductions</t>
        </is>
      </c>
      <c r="J3" s="7" t="inlineStr">
        <is>
          <t>Employer on-costs</t>
        </is>
      </c>
    </row>
    <row r="4">
      <c r="A4" s="4" t="inlineStr">
        <is>
          <t>Basic monthly wage</t>
        </is>
      </c>
      <c r="B4" s="5">
        <f>Assumptions!$B$6</f>
        <v/>
      </c>
      <c r="C4" s="5">
        <f>Assumptions!$B$7</f>
        <v/>
      </c>
      <c r="D4" s="5">
        <f>Assumptions!$B$8</f>
        <v/>
      </c>
      <c r="E4" s="26" t="n">
        <v>4500</v>
      </c>
      <c r="G4" s="4">
        <f>B3</f>
        <v/>
      </c>
      <c r="H4" s="27">
        <f>B24</f>
        <v/>
      </c>
      <c r="I4" s="27">
        <f>B23</f>
        <v/>
      </c>
      <c r="J4" s="27">
        <f>B13</f>
        <v/>
      </c>
    </row>
    <row r="5">
      <c r="A5" s="4" t="inlineStr">
        <is>
          <t>Fixed cash allowances</t>
        </is>
      </c>
      <c r="B5" s="14" t="n">
        <v>0</v>
      </c>
      <c r="C5" s="14" t="n">
        <v>0</v>
      </c>
      <c r="D5" s="14" t="n">
        <v>0</v>
      </c>
      <c r="E5" s="14" t="n">
        <v>0</v>
      </c>
      <c r="G5" s="4">
        <f>C3</f>
        <v/>
      </c>
      <c r="H5" s="27">
        <f>C24</f>
        <v/>
      </c>
      <c r="I5" s="27">
        <f>C23</f>
        <v/>
      </c>
      <c r="J5" s="27">
        <f>C13</f>
        <v/>
      </c>
    </row>
    <row r="6">
      <c r="A6" s="28" t="inlineStr">
        <is>
          <t>Gross monthly wage</t>
        </is>
      </c>
      <c r="B6" s="29">
        <f>B4+B5</f>
        <v/>
      </c>
      <c r="C6" s="29">
        <f>C4+C5</f>
        <v/>
      </c>
      <c r="D6" s="29">
        <f>D4+D5</f>
        <v/>
      </c>
      <c r="E6" s="29">
        <f>E4+E5</f>
        <v/>
      </c>
      <c r="G6" s="4">
        <f>D3</f>
        <v/>
      </c>
      <c r="H6" s="27">
        <f>D24</f>
        <v/>
      </c>
      <c r="I6" s="27">
        <f>D23</f>
        <v/>
      </c>
      <c r="J6" s="27">
        <f>D13</f>
        <v/>
      </c>
    </row>
    <row r="7">
      <c r="G7" s="4">
        <f>E3</f>
        <v/>
      </c>
      <c r="H7" s="27">
        <f>E24</f>
        <v/>
      </c>
      <c r="I7" s="27">
        <f>E23</f>
        <v/>
      </c>
      <c r="J7" s="27">
        <f>E13</f>
        <v/>
      </c>
    </row>
    <row r="8">
      <c r="A8" s="12" t="inlineStr">
        <is>
          <t>Employer on-costs</t>
        </is>
      </c>
      <c r="B8" s="13" t="n"/>
      <c r="C8" s="13" t="n"/>
      <c r="D8" s="13" t="n"/>
      <c r="E8" s="13" t="n"/>
    </row>
    <row r="9">
      <c r="A9" s="4" t="inlineStr">
        <is>
          <t>EPF (employer)</t>
        </is>
      </c>
      <c r="B9" s="27">
        <f>B6*IF(B6&lt;=Assumptions!$B$12,Assumptions!$B$10,Assumptions!$B$11)</f>
        <v/>
      </c>
      <c r="C9" s="27">
        <f>C6*IF(C6&lt;=Assumptions!$B$12,Assumptions!$B$10,Assumptions!$B$11)</f>
        <v/>
      </c>
      <c r="D9" s="27">
        <f>D6*IF(D6&lt;=Assumptions!$B$12,Assumptions!$B$10,Assumptions!$B$11)</f>
        <v/>
      </c>
      <c r="E9" s="27">
        <f>E6*IF(E6&lt;=Assumptions!$B$12,Assumptions!$B$10,Assumptions!$B$11)</f>
        <v/>
      </c>
    </row>
    <row r="10">
      <c r="A10" s="4" t="inlineStr">
        <is>
          <t>SOCSO (employer)</t>
        </is>
      </c>
      <c r="B10" s="27">
        <f>MIN(MIN(B6,Assumptions!$B$17)*Assumptions!$B$13,Assumptions!$B$14)</f>
        <v/>
      </c>
      <c r="C10" s="27">
        <f>MIN(MIN(C6,Assumptions!$B$17)*Assumptions!$B$13,Assumptions!$B$14)</f>
        <v/>
      </c>
      <c r="D10" s="27">
        <f>MIN(MIN(D6,Assumptions!$B$17)*Assumptions!$B$13,Assumptions!$B$14)</f>
        <v/>
      </c>
      <c r="E10" s="27">
        <f>MIN(MIN(E6,Assumptions!$B$17)*Assumptions!$B$13,Assumptions!$B$14)</f>
        <v/>
      </c>
    </row>
    <row r="11">
      <c r="A11" s="4" t="inlineStr">
        <is>
          <t>EIS (employer)</t>
        </is>
      </c>
      <c r="B11" s="27">
        <f>MIN(MIN(B6,Assumptions!$B$17)*Assumptions!$B$15,Assumptions!$B$16)</f>
        <v/>
      </c>
      <c r="C11" s="27">
        <f>MIN(MIN(C6,Assumptions!$B$17)*Assumptions!$B$15,Assumptions!$B$16)</f>
        <v/>
      </c>
      <c r="D11" s="27">
        <f>MIN(MIN(D6,Assumptions!$B$17)*Assumptions!$B$15,Assumptions!$B$16)</f>
        <v/>
      </c>
      <c r="E11" s="27">
        <f>MIN(MIN(E6,Assumptions!$B$17)*Assumptions!$B$15,Assumptions!$B$16)</f>
        <v/>
      </c>
    </row>
    <row r="12">
      <c r="A12" s="4" t="inlineStr">
        <is>
          <t>HRD Corp levy</t>
        </is>
      </c>
      <c r="B12" s="27">
        <f>B6*Assumptions!$B$18</f>
        <v/>
      </c>
      <c r="C12" s="27">
        <f>C6*Assumptions!$B$18</f>
        <v/>
      </c>
      <c r="D12" s="27">
        <f>D6*Assumptions!$B$18</f>
        <v/>
      </c>
      <c r="E12" s="27">
        <f>E6*Assumptions!$B$18</f>
        <v/>
      </c>
    </row>
    <row r="13">
      <c r="A13" s="28" t="inlineStr">
        <is>
          <t>Total employer on-costs</t>
        </is>
      </c>
      <c r="B13" s="30">
        <f>SUM(B9:B12)</f>
        <v/>
      </c>
      <c r="C13" s="30">
        <f>SUM(C9:C12)</f>
        <v/>
      </c>
      <c r="D13" s="30">
        <f>SUM(D9:D12)</f>
        <v/>
      </c>
      <c r="E13" s="30">
        <f>SUM(E9:E12)</f>
        <v/>
      </c>
    </row>
    <row r="14">
      <c r="A14" s="28" t="inlineStr">
        <is>
          <t>Fully loaded monthly cost</t>
        </is>
      </c>
      <c r="B14" s="29">
        <f>B6+B13</f>
        <v/>
      </c>
      <c r="C14" s="29">
        <f>C6+C13</f>
        <v/>
      </c>
      <c r="D14" s="29">
        <f>D6+D13</f>
        <v/>
      </c>
      <c r="E14" s="29">
        <f>E6+E13</f>
        <v/>
      </c>
    </row>
    <row r="15">
      <c r="A15" s="4" t="inlineStr">
        <is>
          <t>On-costs as % of gross wage</t>
        </is>
      </c>
      <c r="B15" s="25">
        <f>IF(B6=0,0,B13/B6)</f>
        <v/>
      </c>
      <c r="C15" s="25">
        <f>IF(C6=0,0,C13/C6)</f>
        <v/>
      </c>
      <c r="D15" s="25">
        <f>IF(D6=0,0,D13/D6)</f>
        <v/>
      </c>
      <c r="E15" s="25">
        <f>IF(E6=0,0,E13/E6)</f>
        <v/>
      </c>
    </row>
    <row r="16">
      <c r="A16" s="28" t="inlineStr">
        <is>
          <t>Fully loaded annual cost</t>
        </is>
      </c>
      <c r="B16" s="29">
        <f>B14*12</f>
        <v/>
      </c>
      <c r="C16" s="29">
        <f>C14*12</f>
        <v/>
      </c>
      <c r="D16" s="29">
        <f>D14*12</f>
        <v/>
      </c>
      <c r="E16" s="29">
        <f>E14*12</f>
        <v/>
      </c>
    </row>
    <row r="18">
      <c r="A18" s="12" t="inlineStr">
        <is>
          <t>Employee deductions</t>
        </is>
      </c>
      <c r="B18" s="13" t="n"/>
      <c r="C18" s="13" t="n"/>
      <c r="D18" s="13" t="n"/>
      <c r="E18" s="13" t="n"/>
    </row>
    <row r="19">
      <c r="A19" s="4" t="inlineStr">
        <is>
          <t>EPF (employee)</t>
        </is>
      </c>
      <c r="B19" s="27">
        <f>B6*Assumptions!$B$20</f>
        <v/>
      </c>
      <c r="C19" s="27">
        <f>C6*Assumptions!$B$20</f>
        <v/>
      </c>
      <c r="D19" s="27">
        <f>D6*Assumptions!$B$20</f>
        <v/>
      </c>
      <c r="E19" s="27">
        <f>E6*Assumptions!$B$20</f>
        <v/>
      </c>
    </row>
    <row r="20">
      <c r="A20" s="4" t="inlineStr">
        <is>
          <t>SOCSO (employee)</t>
        </is>
      </c>
      <c r="B20" s="27">
        <f>MIN(MIN(B6,Assumptions!$B$17)*Assumptions!$B$21,Assumptions!$B$22)</f>
        <v/>
      </c>
      <c r="C20" s="27">
        <f>MIN(MIN(C6,Assumptions!$B$17)*Assumptions!$B$21,Assumptions!$B$22)</f>
        <v/>
      </c>
      <c r="D20" s="27">
        <f>MIN(MIN(D6,Assumptions!$B$17)*Assumptions!$B$21,Assumptions!$B$22)</f>
        <v/>
      </c>
      <c r="E20" s="27">
        <f>MIN(MIN(E6,Assumptions!$B$17)*Assumptions!$B$21,Assumptions!$B$22)</f>
        <v/>
      </c>
    </row>
    <row r="21">
      <c r="A21" s="4" t="inlineStr">
        <is>
          <t>EIS (employee)</t>
        </is>
      </c>
      <c r="B21" s="27">
        <f>MIN(MIN(B6,Assumptions!$B$17)*Assumptions!$B$23,Assumptions!$B$24)</f>
        <v/>
      </c>
      <c r="C21" s="27">
        <f>MIN(MIN(C6,Assumptions!$B$17)*Assumptions!$B$23,Assumptions!$B$24)</f>
        <v/>
      </c>
      <c r="D21" s="27">
        <f>MIN(MIN(D6,Assumptions!$B$17)*Assumptions!$B$23,Assumptions!$B$24)</f>
        <v/>
      </c>
      <c r="E21" s="27">
        <f>MIN(MIN(E6,Assumptions!$B$17)*Assumptions!$B$23,Assumptions!$B$24)</f>
        <v/>
      </c>
    </row>
    <row r="22">
      <c r="A22" s="4" t="inlineStr">
        <is>
          <t>PCB / MTD</t>
        </is>
      </c>
      <c r="B22" s="27">
        <f>B35/12</f>
        <v/>
      </c>
      <c r="C22" s="27">
        <f>C35/12</f>
        <v/>
      </c>
      <c r="D22" s="27">
        <f>D35/12</f>
        <v/>
      </c>
      <c r="E22" s="27">
        <f>E35/12</f>
        <v/>
      </c>
    </row>
    <row r="23">
      <c r="A23" s="28" t="inlineStr">
        <is>
          <t>Total employee deductions</t>
        </is>
      </c>
      <c r="B23" s="30">
        <f>SUM(B19:B22)</f>
        <v/>
      </c>
      <c r="C23" s="30">
        <f>SUM(C19:C22)</f>
        <v/>
      </c>
      <c r="D23" s="30">
        <f>SUM(D19:D22)</f>
        <v/>
      </c>
      <c r="E23" s="30">
        <f>SUM(E19:E22)</f>
        <v/>
      </c>
    </row>
    <row r="24">
      <c r="A24" s="28" t="inlineStr">
        <is>
          <t>Net take-home pay</t>
        </is>
      </c>
      <c r="B24" s="29">
        <f>B6-B23</f>
        <v/>
      </c>
      <c r="C24" s="29">
        <f>C6-C23</f>
        <v/>
      </c>
      <c r="D24" s="29">
        <f>D6-D23</f>
        <v/>
      </c>
      <c r="E24" s="29">
        <f>E6-E23</f>
        <v/>
      </c>
    </row>
    <row r="25">
      <c r="A25" s="4" t="inlineStr">
        <is>
          <t>Take-home as % of gross wage</t>
        </is>
      </c>
      <c r="B25" s="25">
        <f>IF(B6=0,0,B24/B6)</f>
        <v/>
      </c>
      <c r="C25" s="25">
        <f>IF(C6=0,0,C24/C6)</f>
        <v/>
      </c>
      <c r="D25" s="25">
        <f>IF(D6=0,0,D24/D6)</f>
        <v/>
      </c>
      <c r="E25" s="25">
        <f>IF(E6=0,0,E24/E6)</f>
        <v/>
      </c>
    </row>
    <row r="27">
      <c r="A27" s="12" t="inlineStr">
        <is>
          <t>Annual tax computation (basis for PCB)</t>
        </is>
      </c>
      <c r="B27" s="13" t="n"/>
      <c r="C27" s="13" t="n"/>
      <c r="D27" s="13" t="n"/>
      <c r="E27" s="13" t="n"/>
    </row>
    <row r="28">
      <c r="A28" s="4" t="inlineStr">
        <is>
          <t>Annual gross income</t>
        </is>
      </c>
      <c r="B28" s="27">
        <f>B6*12</f>
        <v/>
      </c>
      <c r="C28" s="27">
        <f>C6*12</f>
        <v/>
      </c>
      <c r="D28" s="27">
        <f>D6*12</f>
        <v/>
      </c>
      <c r="E28" s="27">
        <f>E6*12</f>
        <v/>
      </c>
    </row>
    <row r="29">
      <c r="A29" s="4" t="inlineStr">
        <is>
          <t>Less: individual relief</t>
        </is>
      </c>
      <c r="B29" s="5">
        <f>Assumptions!$B$26</f>
        <v/>
      </c>
      <c r="C29" s="5">
        <f>Assumptions!$B$26</f>
        <v/>
      </c>
      <c r="D29" s="5">
        <f>Assumptions!$B$26</f>
        <v/>
      </c>
      <c r="E29" s="5">
        <f>Assumptions!$B$26</f>
        <v/>
      </c>
    </row>
    <row r="30">
      <c r="A30" s="4" t="inlineStr">
        <is>
          <t>Less: EPF relief</t>
        </is>
      </c>
      <c r="B30" s="27">
        <f>MIN(B19*12,Assumptions!$B$27)</f>
        <v/>
      </c>
      <c r="C30" s="27">
        <f>MIN(C19*12,Assumptions!$B$27)</f>
        <v/>
      </c>
      <c r="D30" s="27">
        <f>MIN(D19*12,Assumptions!$B$27)</f>
        <v/>
      </c>
      <c r="E30" s="27">
        <f>MIN(E19*12,Assumptions!$B$27)</f>
        <v/>
      </c>
    </row>
    <row r="31">
      <c r="A31" s="4" t="inlineStr">
        <is>
          <t>Less: other reliefs</t>
        </is>
      </c>
      <c r="B31" s="5">
        <f>Assumptions!$B$28</f>
        <v/>
      </c>
      <c r="C31" s="5">
        <f>Assumptions!$B$28</f>
        <v/>
      </c>
      <c r="D31" s="5">
        <f>Assumptions!$B$28</f>
        <v/>
      </c>
      <c r="E31" s="5">
        <f>Assumptions!$B$28</f>
        <v/>
      </c>
    </row>
    <row r="32">
      <c r="A32" s="28" t="inlineStr">
        <is>
          <t>Chargeable income</t>
        </is>
      </c>
      <c r="B32" s="30">
        <f>MAX(0,B28-B29-B30-B31)</f>
        <v/>
      </c>
      <c r="C32" s="30">
        <f>MAX(0,C28-C29-C30-C31)</f>
        <v/>
      </c>
      <c r="D32" s="30">
        <f>MAX(0,D28-D29-D30-D31)</f>
        <v/>
      </c>
      <c r="E32" s="30">
        <f>MAX(0,E28-E29-E30-E31)</f>
        <v/>
      </c>
    </row>
    <row r="33">
      <c r="A33" s="4" t="inlineStr">
        <is>
          <t>Tax before rebate</t>
        </is>
      </c>
      <c r="B33" s="27">
        <f>SUMPRODUCT((B32&gt;Assumptions!$A$34:$A$43)*(B32-Assumptions!$A$34:$A$43)*Assumptions!$C$34:$C$43)</f>
        <v/>
      </c>
      <c r="C33" s="27">
        <f>SUMPRODUCT((C32&gt;Assumptions!$A$34:$A$43)*(C32-Assumptions!$A$34:$A$43)*Assumptions!$C$34:$C$43)</f>
        <v/>
      </c>
      <c r="D33" s="27">
        <f>SUMPRODUCT((D32&gt;Assumptions!$A$34:$A$43)*(D32-Assumptions!$A$34:$A$43)*Assumptions!$C$34:$C$43)</f>
        <v/>
      </c>
      <c r="E33" s="27">
        <f>SUMPRODUCT((E32&gt;Assumptions!$A$34:$A$43)*(E32-Assumptions!$A$34:$A$43)*Assumptions!$C$34:$C$43)</f>
        <v/>
      </c>
    </row>
    <row r="34">
      <c r="A34" s="4" t="inlineStr">
        <is>
          <t>Less: rebate</t>
        </is>
      </c>
      <c r="B34" s="27">
        <f>IF(B32&lt;=Assumptions!$B$30,MIN(B33,Assumptions!$B$29),0)</f>
        <v/>
      </c>
      <c r="C34" s="27">
        <f>IF(C32&lt;=Assumptions!$B$30,MIN(C33,Assumptions!$B$29),0)</f>
        <v/>
      </c>
      <c r="D34" s="27">
        <f>IF(D32&lt;=Assumptions!$B$30,MIN(D33,Assumptions!$B$29),0)</f>
        <v/>
      </c>
      <c r="E34" s="27">
        <f>IF(E32&lt;=Assumptions!$B$30,MIN(E33,Assumptions!$B$29),0)</f>
        <v/>
      </c>
    </row>
    <row r="35">
      <c r="A35" s="28" t="inlineStr">
        <is>
          <t>Annual tax payable</t>
        </is>
      </c>
      <c r="B35" s="30">
        <f>B33-B34</f>
        <v/>
      </c>
      <c r="C35" s="30">
        <f>C33-C34</f>
        <v/>
      </c>
      <c r="D35" s="30">
        <f>D33-D34</f>
        <v/>
      </c>
      <c r="E35" s="30">
        <f>E33-E34</f>
        <v/>
      </c>
    </row>
    <row r="37">
      <c r="A37" s="12" t="inlineStr">
        <is>
          <t>Difference vs Fresh Graduate Floor</t>
        </is>
      </c>
      <c r="B37" s="13" t="n"/>
      <c r="C37" s="13" t="n"/>
      <c r="D37" s="13" t="n"/>
      <c r="E37" s="13" t="n"/>
    </row>
    <row r="38">
      <c r="A38" s="4" t="inlineStr">
        <is>
          <t>Fully loaded monthly cost vs floor</t>
        </is>
      </c>
      <c r="B38" s="27">
        <f>B14-$C$14</f>
        <v/>
      </c>
      <c r="C38" s="27">
        <f>C14-$C$14</f>
        <v/>
      </c>
      <c r="D38" s="27">
        <f>D14-$C$14</f>
        <v/>
      </c>
      <c r="E38" s="27">
        <f>E14-$C$14</f>
        <v/>
      </c>
    </row>
    <row r="39">
      <c r="A39" s="4" t="inlineStr">
        <is>
          <t>Net take-home pay vs floor</t>
        </is>
      </c>
      <c r="B39" s="27">
        <f>B24-$C$24</f>
        <v/>
      </c>
      <c r="C39" s="27">
        <f>C24-$C$24</f>
        <v/>
      </c>
      <c r="D39" s="27">
        <f>D24-$C$24</f>
        <v/>
      </c>
      <c r="E39" s="27">
        <f>E24-$C$24</f>
        <v/>
      </c>
    </row>
    <row r="40">
      <c r="A40" s="4" t="inlineStr">
        <is>
          <t>Fully loaded annual cost vs floor</t>
        </is>
      </c>
      <c r="B40" s="27">
        <f>B16-$C$16</f>
        <v/>
      </c>
      <c r="C40" s="27">
        <f>C16-$C$16</f>
        <v/>
      </c>
      <c r="D40" s="27">
        <f>D16-$C$16</f>
        <v/>
      </c>
      <c r="E40" s="27">
        <f>E16-$C$16</f>
        <v/>
      </c>
    </row>
    <row r="42">
      <c r="A42" s="2" t="inlineStr">
        <is>
          <t>Allowances default to zero; enter fixed cash allowances in row 5 to include them in every statutory base.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Headcount Budget - Annual Cost of a Hiring Plan</t>
        </is>
      </c>
    </row>
    <row r="2">
      <c r="A2" s="2" t="inlineStr">
        <is>
          <t>Blue headcounts are example values; overwrite them with your own plan. Wages and per-head costs link to Benchmark Comparison.</t>
        </is>
      </c>
    </row>
    <row r="4" ht="32" customHeight="1">
      <c r="A4" s="3" t="inlineStr">
        <is>
          <t>Tier</t>
        </is>
      </c>
      <c r="B4" s="3" t="inlineStr">
        <is>
          <t>Gross monthly wage (RM)</t>
        </is>
      </c>
      <c r="C4" s="3" t="inlineStr">
        <is>
          <t>Headcount</t>
        </is>
      </c>
      <c r="D4" s="3" t="inlineStr">
        <is>
          <t>Loaded cost per head / month (RM)</t>
        </is>
      </c>
      <c r="E4" s="3" t="inlineStr">
        <is>
          <t>Monthly payroll cost (RM)</t>
        </is>
      </c>
      <c r="F4" s="3" t="inlineStr">
        <is>
          <t>Annual payroll cost (RM)</t>
        </is>
      </c>
      <c r="G4" s="3" t="inlineStr">
        <is>
          <t>Annual statutory on-costs (RM)</t>
        </is>
      </c>
      <c r="H4" s="3" t="inlineStr">
        <is>
          <t>Net take-home per head / month (RM)</t>
        </is>
      </c>
    </row>
    <row r="5">
      <c r="A5" s="4" t="inlineStr">
        <is>
          <t>National Minimum Wage</t>
        </is>
      </c>
      <c r="B5" s="5">
        <f>'Benchmark Comparison'!B6</f>
        <v/>
      </c>
      <c r="C5" s="31" t="n">
        <v>10</v>
      </c>
      <c r="D5" s="5">
        <f>'Benchmark Comparison'!B14</f>
        <v/>
      </c>
      <c r="E5" s="27">
        <f>C5*D5</f>
        <v/>
      </c>
      <c r="F5" s="27">
        <f>E5*12</f>
        <v/>
      </c>
      <c r="G5" s="27">
        <f>C5*'Benchmark Comparison'!B13*12</f>
        <v/>
      </c>
      <c r="H5" s="5">
        <f>'Benchmark Comparison'!B24</f>
        <v/>
      </c>
    </row>
    <row r="6">
      <c r="A6" s="4" t="inlineStr">
        <is>
          <t>Fresh Graduate Floor</t>
        </is>
      </c>
      <c r="B6" s="5">
        <f>'Benchmark Comparison'!C6</f>
        <v/>
      </c>
      <c r="C6" s="31" t="n">
        <v>15</v>
      </c>
      <c r="D6" s="5">
        <f>'Benchmark Comparison'!C14</f>
        <v/>
      </c>
      <c r="E6" s="27">
        <f>C6*D6</f>
        <v/>
      </c>
      <c r="F6" s="27">
        <f>E6*12</f>
        <v/>
      </c>
      <c r="G6" s="27">
        <f>C6*'Benchmark Comparison'!C13*12</f>
        <v/>
      </c>
      <c r="H6" s="5">
        <f>'Benchmark Comparison'!C24</f>
        <v/>
      </c>
    </row>
    <row r="7">
      <c r="A7" s="4" t="inlineStr">
        <is>
          <t>GLC / GLIC Living Wage</t>
        </is>
      </c>
      <c r="B7" s="5">
        <f>'Benchmark Comparison'!D6</f>
        <v/>
      </c>
      <c r="C7" s="31" t="n">
        <v>5</v>
      </c>
      <c r="D7" s="5">
        <f>'Benchmark Comparison'!D14</f>
        <v/>
      </c>
      <c r="E7" s="27">
        <f>C7*D7</f>
        <v/>
      </c>
      <c r="F7" s="27">
        <f>E7*12</f>
        <v/>
      </c>
      <c r="G7" s="27">
        <f>C7*'Benchmark Comparison'!D13*12</f>
        <v/>
      </c>
      <c r="H7" s="5">
        <f>'Benchmark Comparison'!D24</f>
        <v/>
      </c>
    </row>
    <row r="8">
      <c r="A8" s="4" t="inlineStr">
        <is>
          <t>Custom Scenario</t>
        </is>
      </c>
      <c r="B8" s="5">
        <f>'Benchmark Comparison'!E6</f>
        <v/>
      </c>
      <c r="C8" s="31" t="n">
        <v>2</v>
      </c>
      <c r="D8" s="5">
        <f>'Benchmark Comparison'!E14</f>
        <v/>
      </c>
      <c r="E8" s="27">
        <f>C8*D8</f>
        <v/>
      </c>
      <c r="F8" s="27">
        <f>E8*12</f>
        <v/>
      </c>
      <c r="G8" s="27">
        <f>C8*'Benchmark Comparison'!E13*12</f>
        <v/>
      </c>
      <c r="H8" s="5">
        <f>'Benchmark Comparison'!E24</f>
        <v/>
      </c>
    </row>
    <row r="9">
      <c r="A9" s="32" t="inlineStr">
        <is>
          <t>Total</t>
        </is>
      </c>
      <c r="B9" s="33" t="inlineStr">
        <is>
          <t>Average loaded cost per head:</t>
        </is>
      </c>
      <c r="C9" s="34">
        <f>SUM(C5:C8)</f>
        <v/>
      </c>
      <c r="D9" s="30">
        <f>IF(C9=0,0,E9/C9)</f>
        <v/>
      </c>
      <c r="E9" s="30">
        <f>SUM(E5:E8)</f>
        <v/>
      </c>
      <c r="F9" s="30">
        <f>SUM(F5:F8)</f>
        <v/>
      </c>
      <c r="G9" s="30">
        <f>SUM(G5:G8)</f>
        <v/>
      </c>
      <c r="H9" s="35" t="n"/>
    </row>
    <row r="10">
      <c r="A10" s="4" t="inlineStr">
        <is>
          <t>On-costs as % of total annual payroll cost</t>
        </is>
      </c>
      <c r="G10" s="25">
        <f>IF(F9=0,0,G9/F9)</f>
        <v/>
      </c>
    </row>
    <row r="13">
      <c r="A13" s="7" t="inlineStr">
        <is>
          <t>Wage uplift analysis</t>
        </is>
      </c>
    </row>
    <row r="14">
      <c r="A14" s="2" t="inlineStr">
        <is>
          <t>What it costs the employer, and what the employee gains, when staff move up a benchmark.</t>
        </is>
      </c>
    </row>
    <row r="15" ht="32" customHeight="1">
      <c r="A15" s="3" t="inlineStr">
        <is>
          <t>Uplift</t>
        </is>
      </c>
      <c r="B15" s="3" t="inlineStr">
        <is>
          <t>Wage increase per head / month (RM)</t>
        </is>
      </c>
      <c r="C15" s="3" t="inlineStr">
        <is>
          <t>Staff affected</t>
        </is>
      </c>
      <c r="D15" s="3" t="inlineStr">
        <is>
          <t>Extra loaded cost per head / month (RM)</t>
        </is>
      </c>
      <c r="E15" s="3" t="inlineStr">
        <is>
          <t>Extra monthly cost (RM)</t>
        </is>
      </c>
      <c r="F15" s="3" t="inlineStr">
        <is>
          <t>Extra annual cost (RM)</t>
        </is>
      </c>
      <c r="G15" s="3" t="inlineStr">
        <is>
          <t>Employer cost per RM1 of extra take-home (RM)</t>
        </is>
      </c>
      <c r="H15" s="3" t="inlineStr">
        <is>
          <t>Extra take-home per head / month (RM)</t>
        </is>
      </c>
    </row>
    <row r="16">
      <c r="A16" s="4" t="inlineStr">
        <is>
          <t>Minimum Wage to Fresh Graduate Floor</t>
        </is>
      </c>
      <c r="B16" s="27">
        <f>'Benchmark Comparison'!C6-'Benchmark Comparison'!B6</f>
        <v/>
      </c>
      <c r="C16" s="31" t="n">
        <v>10</v>
      </c>
      <c r="D16" s="27">
        <f>'Benchmark Comparison'!C14-'Benchmark Comparison'!B14</f>
        <v/>
      </c>
      <c r="E16" s="27">
        <f>C16*D16</f>
        <v/>
      </c>
      <c r="F16" s="27">
        <f>E16*12</f>
        <v/>
      </c>
      <c r="G16" s="27">
        <f>IF(H16=0,0,D16/H16)</f>
        <v/>
      </c>
      <c r="H16" s="27">
        <f>'Benchmark Comparison'!C24-'Benchmark Comparison'!B24</f>
        <v/>
      </c>
    </row>
    <row r="17">
      <c r="A17" s="4" t="inlineStr">
        <is>
          <t>Fresh Graduate Floor to GLC Living Wage</t>
        </is>
      </c>
      <c r="B17" s="27">
        <f>'Benchmark Comparison'!D6-'Benchmark Comparison'!C6</f>
        <v/>
      </c>
      <c r="C17" s="31" t="n">
        <v>15</v>
      </c>
      <c r="D17" s="27">
        <f>'Benchmark Comparison'!D14-'Benchmark Comparison'!C14</f>
        <v/>
      </c>
      <c r="E17" s="27">
        <f>C17*D17</f>
        <v/>
      </c>
      <c r="F17" s="27">
        <f>E17*12</f>
        <v/>
      </c>
      <c r="G17" s="27">
        <f>IF(H17=0,0,D17/H17)</f>
        <v/>
      </c>
      <c r="H17" s="27">
        <f>'Benchmark Comparison'!D24-'Benchmark Comparison'!C24</f>
        <v/>
      </c>
    </row>
    <row r="18">
      <c r="A18" s="4" t="inlineStr">
        <is>
          <t>Minimum Wage to GLC Living Wage</t>
        </is>
      </c>
      <c r="B18" s="27">
        <f>'Benchmark Comparison'!D6-'Benchmark Comparison'!B6</f>
        <v/>
      </c>
      <c r="C18" s="31" t="n">
        <v>10</v>
      </c>
      <c r="D18" s="27">
        <f>'Benchmark Comparison'!D14-'Benchmark Comparison'!B14</f>
        <v/>
      </c>
      <c r="E18" s="27">
        <f>C18*D18</f>
        <v/>
      </c>
      <c r="F18" s="27">
        <f>E18*12</f>
        <v/>
      </c>
      <c r="G18" s="27">
        <f>IF(H18=0,0,D18/H18)</f>
        <v/>
      </c>
      <c r="H18" s="27">
        <f>'Benchmark Comparison'!D24-'Benchmark Comparison'!B24</f>
        <v/>
      </c>
    </row>
    <row r="20">
      <c r="A20" s="2" t="inlineStr">
        <is>
          <t>Each uplift row is independent; the three rows are alternatives, not a sum.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Wage Ladder - Sensitivity of Cost and Take-Home to Monthly Wage</t>
        </is>
      </c>
    </row>
    <row r="2">
      <c r="A2" s="2" t="inlineStr">
        <is>
          <t>Change the starting wage or step (yellow) to redraw the ladder and chart.</t>
        </is>
      </c>
    </row>
    <row r="3">
      <c r="A3" s="4" t="inlineStr">
        <is>
          <t>Starting wage (RM)</t>
        </is>
      </c>
      <c r="B3" s="26" t="n">
        <v>2000</v>
      </c>
      <c r="C3" s="4" t="inlineStr">
        <is>
          <t>Step (RM)</t>
        </is>
      </c>
      <c r="D3" s="26" t="n">
        <v>250</v>
      </c>
    </row>
    <row r="5" ht="32" customHeight="1">
      <c r="A5" s="3" t="inlineStr">
        <is>
          <t>Gross monthly wage (RM)</t>
        </is>
      </c>
      <c r="B5" s="3" t="inlineStr">
        <is>
          <t>EPF employer</t>
        </is>
      </c>
      <c r="C5" s="3" t="inlineStr">
        <is>
          <t>SOCSO employer</t>
        </is>
      </c>
      <c r="D5" s="3" t="inlineStr">
        <is>
          <t>EIS employer</t>
        </is>
      </c>
      <c r="E5" s="3" t="inlineStr">
        <is>
          <t>HRD levy</t>
        </is>
      </c>
      <c r="F5" s="3" t="inlineStr">
        <is>
          <t>Total on-costs</t>
        </is>
      </c>
      <c r="G5" s="3" t="inlineStr">
        <is>
          <t>Fully loaded cost</t>
        </is>
      </c>
      <c r="H5" s="3" t="inlineStr">
        <is>
          <t>On-cost %</t>
        </is>
      </c>
      <c r="I5" s="3" t="inlineStr">
        <is>
          <t>EPF employee</t>
        </is>
      </c>
      <c r="J5" s="3" t="inlineStr">
        <is>
          <t>SOCSO employee</t>
        </is>
      </c>
      <c r="K5" s="3" t="inlineStr">
        <is>
          <t>EIS employee</t>
        </is>
      </c>
      <c r="L5" s="3" t="inlineStr">
        <is>
          <t>Chargeable income (annual)</t>
        </is>
      </c>
      <c r="M5" s="3" t="inlineStr">
        <is>
          <t>Tax payable (annual)</t>
        </is>
      </c>
      <c r="N5" s="3" t="inlineStr">
        <is>
          <t>PCB / month</t>
        </is>
      </c>
      <c r="O5" s="3" t="inlineStr">
        <is>
          <t>Net take-home pay</t>
        </is>
      </c>
      <c r="P5" s="3" t="inlineStr">
        <is>
          <t>Take-home %</t>
        </is>
      </c>
    </row>
    <row r="6">
      <c r="A6" s="29">
        <f>$B$3</f>
        <v/>
      </c>
      <c r="B6" s="27">
        <f>$A6*IF($A6&lt;=Assumptions!$B$12,Assumptions!$B$10,Assumptions!$B$11)</f>
        <v/>
      </c>
      <c r="C6" s="27">
        <f>MIN(MIN($A6,Assumptions!$B$17)*Assumptions!$B$13,Assumptions!$B$14)</f>
        <v/>
      </c>
      <c r="D6" s="27">
        <f>MIN(MIN($A6,Assumptions!$B$17)*Assumptions!$B$15,Assumptions!$B$16)</f>
        <v/>
      </c>
      <c r="E6" s="27">
        <f>$A6*Assumptions!$B$18</f>
        <v/>
      </c>
      <c r="F6" s="27">
        <f>SUM(B6:E6)</f>
        <v/>
      </c>
      <c r="G6" s="29">
        <f>A6+F6</f>
        <v/>
      </c>
      <c r="H6" s="25">
        <f>IF(A6=0,0,F6/A6)</f>
        <v/>
      </c>
      <c r="I6" s="27">
        <f>$A6*Assumptions!$B$20</f>
        <v/>
      </c>
      <c r="J6" s="27">
        <f>MIN(MIN($A6,Assumptions!$B$17)*Assumptions!$B$21,Assumptions!$B$22)</f>
        <v/>
      </c>
      <c r="K6" s="27">
        <f>MIN(MIN($A6,Assumptions!$B$17)*Assumptions!$B$23,Assumptions!$B$24)</f>
        <v/>
      </c>
      <c r="L6" s="27">
        <f>MAX(0,A6*12-Assumptions!$B$26-MIN(I6*12,Assumptions!$B$27)-Assumptions!$B$28)</f>
        <v/>
      </c>
      <c r="M6" s="27">
        <f>SUMPRODUCT((L6&gt;Assumptions!$A$34:$A$43)*(L6-Assumptions!$A$34:$A$43)*Assumptions!$C$34:$C$43)-IF(L6&lt;=Assumptions!$B$30,MIN(SUMPRODUCT((L6&gt;Assumptions!$A$34:$A$43)*(L6-Assumptions!$A$34:$A$43)*Assumptions!$C$34:$C$43),Assumptions!$B$29),0)</f>
        <v/>
      </c>
      <c r="N6" s="27">
        <f>M6/12</f>
        <v/>
      </c>
      <c r="O6" s="29">
        <f>A6-I6-J6-K6-N6</f>
        <v/>
      </c>
      <c r="P6" s="25">
        <f>IF(A6=0,0,O6/A6)</f>
        <v/>
      </c>
    </row>
    <row r="7">
      <c r="A7" s="29">
        <f>A6+$D$3</f>
        <v/>
      </c>
      <c r="B7" s="27">
        <f>$A7*IF($A7&lt;=Assumptions!$B$12,Assumptions!$B$10,Assumptions!$B$11)</f>
        <v/>
      </c>
      <c r="C7" s="27">
        <f>MIN(MIN($A7,Assumptions!$B$17)*Assumptions!$B$13,Assumptions!$B$14)</f>
        <v/>
      </c>
      <c r="D7" s="27">
        <f>MIN(MIN($A7,Assumptions!$B$17)*Assumptions!$B$15,Assumptions!$B$16)</f>
        <v/>
      </c>
      <c r="E7" s="27">
        <f>$A7*Assumptions!$B$18</f>
        <v/>
      </c>
      <c r="F7" s="27">
        <f>SUM(B7:E7)</f>
        <v/>
      </c>
      <c r="G7" s="29">
        <f>A7+F7</f>
        <v/>
      </c>
      <c r="H7" s="25">
        <f>IF(A7=0,0,F7/A7)</f>
        <v/>
      </c>
      <c r="I7" s="27">
        <f>$A7*Assumptions!$B$20</f>
        <v/>
      </c>
      <c r="J7" s="27">
        <f>MIN(MIN($A7,Assumptions!$B$17)*Assumptions!$B$21,Assumptions!$B$22)</f>
        <v/>
      </c>
      <c r="K7" s="27">
        <f>MIN(MIN($A7,Assumptions!$B$17)*Assumptions!$B$23,Assumptions!$B$24)</f>
        <v/>
      </c>
      <c r="L7" s="27">
        <f>MAX(0,A7*12-Assumptions!$B$26-MIN(I7*12,Assumptions!$B$27)-Assumptions!$B$28)</f>
        <v/>
      </c>
      <c r="M7" s="27">
        <f>SUMPRODUCT((L7&gt;Assumptions!$A$34:$A$43)*(L7-Assumptions!$A$34:$A$43)*Assumptions!$C$34:$C$43)-IF(L7&lt;=Assumptions!$B$30,MIN(SUMPRODUCT((L7&gt;Assumptions!$A$34:$A$43)*(L7-Assumptions!$A$34:$A$43)*Assumptions!$C$34:$C$43),Assumptions!$B$29),0)</f>
        <v/>
      </c>
      <c r="N7" s="27">
        <f>M7/12</f>
        <v/>
      </c>
      <c r="O7" s="29">
        <f>A7-I7-J7-K7-N7</f>
        <v/>
      </c>
      <c r="P7" s="25">
        <f>IF(A7=0,0,O7/A7)</f>
        <v/>
      </c>
    </row>
    <row r="8">
      <c r="A8" s="29">
        <f>A7+$D$3</f>
        <v/>
      </c>
      <c r="B8" s="27">
        <f>$A8*IF($A8&lt;=Assumptions!$B$12,Assumptions!$B$10,Assumptions!$B$11)</f>
        <v/>
      </c>
      <c r="C8" s="27">
        <f>MIN(MIN($A8,Assumptions!$B$17)*Assumptions!$B$13,Assumptions!$B$14)</f>
        <v/>
      </c>
      <c r="D8" s="27">
        <f>MIN(MIN($A8,Assumptions!$B$17)*Assumptions!$B$15,Assumptions!$B$16)</f>
        <v/>
      </c>
      <c r="E8" s="27">
        <f>$A8*Assumptions!$B$18</f>
        <v/>
      </c>
      <c r="F8" s="27">
        <f>SUM(B8:E8)</f>
        <v/>
      </c>
      <c r="G8" s="29">
        <f>A8+F8</f>
        <v/>
      </c>
      <c r="H8" s="25">
        <f>IF(A8=0,0,F8/A8)</f>
        <v/>
      </c>
      <c r="I8" s="27">
        <f>$A8*Assumptions!$B$20</f>
        <v/>
      </c>
      <c r="J8" s="27">
        <f>MIN(MIN($A8,Assumptions!$B$17)*Assumptions!$B$21,Assumptions!$B$22)</f>
        <v/>
      </c>
      <c r="K8" s="27">
        <f>MIN(MIN($A8,Assumptions!$B$17)*Assumptions!$B$23,Assumptions!$B$24)</f>
        <v/>
      </c>
      <c r="L8" s="27">
        <f>MAX(0,A8*12-Assumptions!$B$26-MIN(I8*12,Assumptions!$B$27)-Assumptions!$B$28)</f>
        <v/>
      </c>
      <c r="M8" s="27">
        <f>SUMPRODUCT((L8&gt;Assumptions!$A$34:$A$43)*(L8-Assumptions!$A$34:$A$43)*Assumptions!$C$34:$C$43)-IF(L8&lt;=Assumptions!$B$30,MIN(SUMPRODUCT((L8&gt;Assumptions!$A$34:$A$43)*(L8-Assumptions!$A$34:$A$43)*Assumptions!$C$34:$C$43),Assumptions!$B$29),0)</f>
        <v/>
      </c>
      <c r="N8" s="27">
        <f>M8/12</f>
        <v/>
      </c>
      <c r="O8" s="29">
        <f>A8-I8-J8-K8-N8</f>
        <v/>
      </c>
      <c r="P8" s="25">
        <f>IF(A8=0,0,O8/A8)</f>
        <v/>
      </c>
    </row>
    <row r="9">
      <c r="A9" s="29">
        <f>A8+$D$3</f>
        <v/>
      </c>
      <c r="B9" s="27">
        <f>$A9*IF($A9&lt;=Assumptions!$B$12,Assumptions!$B$10,Assumptions!$B$11)</f>
        <v/>
      </c>
      <c r="C9" s="27">
        <f>MIN(MIN($A9,Assumptions!$B$17)*Assumptions!$B$13,Assumptions!$B$14)</f>
        <v/>
      </c>
      <c r="D9" s="27">
        <f>MIN(MIN($A9,Assumptions!$B$17)*Assumptions!$B$15,Assumptions!$B$16)</f>
        <v/>
      </c>
      <c r="E9" s="27">
        <f>$A9*Assumptions!$B$18</f>
        <v/>
      </c>
      <c r="F9" s="27">
        <f>SUM(B9:E9)</f>
        <v/>
      </c>
      <c r="G9" s="29">
        <f>A9+F9</f>
        <v/>
      </c>
      <c r="H9" s="25">
        <f>IF(A9=0,0,F9/A9)</f>
        <v/>
      </c>
      <c r="I9" s="27">
        <f>$A9*Assumptions!$B$20</f>
        <v/>
      </c>
      <c r="J9" s="27">
        <f>MIN(MIN($A9,Assumptions!$B$17)*Assumptions!$B$21,Assumptions!$B$22)</f>
        <v/>
      </c>
      <c r="K9" s="27">
        <f>MIN(MIN($A9,Assumptions!$B$17)*Assumptions!$B$23,Assumptions!$B$24)</f>
        <v/>
      </c>
      <c r="L9" s="27">
        <f>MAX(0,A9*12-Assumptions!$B$26-MIN(I9*12,Assumptions!$B$27)-Assumptions!$B$28)</f>
        <v/>
      </c>
      <c r="M9" s="27">
        <f>SUMPRODUCT((L9&gt;Assumptions!$A$34:$A$43)*(L9-Assumptions!$A$34:$A$43)*Assumptions!$C$34:$C$43)-IF(L9&lt;=Assumptions!$B$30,MIN(SUMPRODUCT((L9&gt;Assumptions!$A$34:$A$43)*(L9-Assumptions!$A$34:$A$43)*Assumptions!$C$34:$C$43),Assumptions!$B$29),0)</f>
        <v/>
      </c>
      <c r="N9" s="27">
        <f>M9/12</f>
        <v/>
      </c>
      <c r="O9" s="29">
        <f>A9-I9-J9-K9-N9</f>
        <v/>
      </c>
      <c r="P9" s="25">
        <f>IF(A9=0,0,O9/A9)</f>
        <v/>
      </c>
    </row>
    <row r="10">
      <c r="A10" s="29">
        <f>A9+$D$3</f>
        <v/>
      </c>
      <c r="B10" s="27">
        <f>$A10*IF($A10&lt;=Assumptions!$B$12,Assumptions!$B$10,Assumptions!$B$11)</f>
        <v/>
      </c>
      <c r="C10" s="27">
        <f>MIN(MIN($A10,Assumptions!$B$17)*Assumptions!$B$13,Assumptions!$B$14)</f>
        <v/>
      </c>
      <c r="D10" s="27">
        <f>MIN(MIN($A10,Assumptions!$B$17)*Assumptions!$B$15,Assumptions!$B$16)</f>
        <v/>
      </c>
      <c r="E10" s="27">
        <f>$A10*Assumptions!$B$18</f>
        <v/>
      </c>
      <c r="F10" s="27">
        <f>SUM(B10:E10)</f>
        <v/>
      </c>
      <c r="G10" s="29">
        <f>A10+F10</f>
        <v/>
      </c>
      <c r="H10" s="25">
        <f>IF(A10=0,0,F10/A10)</f>
        <v/>
      </c>
      <c r="I10" s="27">
        <f>$A10*Assumptions!$B$20</f>
        <v/>
      </c>
      <c r="J10" s="27">
        <f>MIN(MIN($A10,Assumptions!$B$17)*Assumptions!$B$21,Assumptions!$B$22)</f>
        <v/>
      </c>
      <c r="K10" s="27">
        <f>MIN(MIN($A10,Assumptions!$B$17)*Assumptions!$B$23,Assumptions!$B$24)</f>
        <v/>
      </c>
      <c r="L10" s="27">
        <f>MAX(0,A10*12-Assumptions!$B$26-MIN(I10*12,Assumptions!$B$27)-Assumptions!$B$28)</f>
        <v/>
      </c>
      <c r="M10" s="27">
        <f>SUMPRODUCT((L10&gt;Assumptions!$A$34:$A$43)*(L10-Assumptions!$A$34:$A$43)*Assumptions!$C$34:$C$43)-IF(L10&lt;=Assumptions!$B$30,MIN(SUMPRODUCT((L10&gt;Assumptions!$A$34:$A$43)*(L10-Assumptions!$A$34:$A$43)*Assumptions!$C$34:$C$43),Assumptions!$B$29),0)</f>
        <v/>
      </c>
      <c r="N10" s="27">
        <f>M10/12</f>
        <v/>
      </c>
      <c r="O10" s="29">
        <f>A10-I10-J10-K10-N10</f>
        <v/>
      </c>
      <c r="P10" s="25">
        <f>IF(A10=0,0,O10/A10)</f>
        <v/>
      </c>
    </row>
    <row r="11">
      <c r="A11" s="29">
        <f>A10+$D$3</f>
        <v/>
      </c>
      <c r="B11" s="27">
        <f>$A11*IF($A11&lt;=Assumptions!$B$12,Assumptions!$B$10,Assumptions!$B$11)</f>
        <v/>
      </c>
      <c r="C11" s="27">
        <f>MIN(MIN($A11,Assumptions!$B$17)*Assumptions!$B$13,Assumptions!$B$14)</f>
        <v/>
      </c>
      <c r="D11" s="27">
        <f>MIN(MIN($A11,Assumptions!$B$17)*Assumptions!$B$15,Assumptions!$B$16)</f>
        <v/>
      </c>
      <c r="E11" s="27">
        <f>$A11*Assumptions!$B$18</f>
        <v/>
      </c>
      <c r="F11" s="27">
        <f>SUM(B11:E11)</f>
        <v/>
      </c>
      <c r="G11" s="29">
        <f>A11+F11</f>
        <v/>
      </c>
      <c r="H11" s="25">
        <f>IF(A11=0,0,F11/A11)</f>
        <v/>
      </c>
      <c r="I11" s="27">
        <f>$A11*Assumptions!$B$20</f>
        <v/>
      </c>
      <c r="J11" s="27">
        <f>MIN(MIN($A11,Assumptions!$B$17)*Assumptions!$B$21,Assumptions!$B$22)</f>
        <v/>
      </c>
      <c r="K11" s="27">
        <f>MIN(MIN($A11,Assumptions!$B$17)*Assumptions!$B$23,Assumptions!$B$24)</f>
        <v/>
      </c>
      <c r="L11" s="27">
        <f>MAX(0,A11*12-Assumptions!$B$26-MIN(I11*12,Assumptions!$B$27)-Assumptions!$B$28)</f>
        <v/>
      </c>
      <c r="M11" s="27">
        <f>SUMPRODUCT((L11&gt;Assumptions!$A$34:$A$43)*(L11-Assumptions!$A$34:$A$43)*Assumptions!$C$34:$C$43)-IF(L11&lt;=Assumptions!$B$30,MIN(SUMPRODUCT((L11&gt;Assumptions!$A$34:$A$43)*(L11-Assumptions!$A$34:$A$43)*Assumptions!$C$34:$C$43),Assumptions!$B$29),0)</f>
        <v/>
      </c>
      <c r="N11" s="27">
        <f>M11/12</f>
        <v/>
      </c>
      <c r="O11" s="29">
        <f>A11-I11-J11-K11-N11</f>
        <v/>
      </c>
      <c r="P11" s="25">
        <f>IF(A11=0,0,O11/A11)</f>
        <v/>
      </c>
    </row>
    <row r="12">
      <c r="A12" s="29">
        <f>A11+$D$3</f>
        <v/>
      </c>
      <c r="B12" s="27">
        <f>$A12*IF($A12&lt;=Assumptions!$B$12,Assumptions!$B$10,Assumptions!$B$11)</f>
        <v/>
      </c>
      <c r="C12" s="27">
        <f>MIN(MIN($A12,Assumptions!$B$17)*Assumptions!$B$13,Assumptions!$B$14)</f>
        <v/>
      </c>
      <c r="D12" s="27">
        <f>MIN(MIN($A12,Assumptions!$B$17)*Assumptions!$B$15,Assumptions!$B$16)</f>
        <v/>
      </c>
      <c r="E12" s="27">
        <f>$A12*Assumptions!$B$18</f>
        <v/>
      </c>
      <c r="F12" s="27">
        <f>SUM(B12:E12)</f>
        <v/>
      </c>
      <c r="G12" s="29">
        <f>A12+F12</f>
        <v/>
      </c>
      <c r="H12" s="25">
        <f>IF(A12=0,0,F12/A12)</f>
        <v/>
      </c>
      <c r="I12" s="27">
        <f>$A12*Assumptions!$B$20</f>
        <v/>
      </c>
      <c r="J12" s="27">
        <f>MIN(MIN($A12,Assumptions!$B$17)*Assumptions!$B$21,Assumptions!$B$22)</f>
        <v/>
      </c>
      <c r="K12" s="27">
        <f>MIN(MIN($A12,Assumptions!$B$17)*Assumptions!$B$23,Assumptions!$B$24)</f>
        <v/>
      </c>
      <c r="L12" s="27">
        <f>MAX(0,A12*12-Assumptions!$B$26-MIN(I12*12,Assumptions!$B$27)-Assumptions!$B$28)</f>
        <v/>
      </c>
      <c r="M12" s="27">
        <f>SUMPRODUCT((L12&gt;Assumptions!$A$34:$A$43)*(L12-Assumptions!$A$34:$A$43)*Assumptions!$C$34:$C$43)-IF(L12&lt;=Assumptions!$B$30,MIN(SUMPRODUCT((L12&gt;Assumptions!$A$34:$A$43)*(L12-Assumptions!$A$34:$A$43)*Assumptions!$C$34:$C$43),Assumptions!$B$29),0)</f>
        <v/>
      </c>
      <c r="N12" s="27">
        <f>M12/12</f>
        <v/>
      </c>
      <c r="O12" s="29">
        <f>A12-I12-J12-K12-N12</f>
        <v/>
      </c>
      <c r="P12" s="25">
        <f>IF(A12=0,0,O12/A12)</f>
        <v/>
      </c>
    </row>
    <row r="13">
      <c r="A13" s="29">
        <f>A12+$D$3</f>
        <v/>
      </c>
      <c r="B13" s="27">
        <f>$A13*IF($A13&lt;=Assumptions!$B$12,Assumptions!$B$10,Assumptions!$B$11)</f>
        <v/>
      </c>
      <c r="C13" s="27">
        <f>MIN(MIN($A13,Assumptions!$B$17)*Assumptions!$B$13,Assumptions!$B$14)</f>
        <v/>
      </c>
      <c r="D13" s="27">
        <f>MIN(MIN($A13,Assumptions!$B$17)*Assumptions!$B$15,Assumptions!$B$16)</f>
        <v/>
      </c>
      <c r="E13" s="27">
        <f>$A13*Assumptions!$B$18</f>
        <v/>
      </c>
      <c r="F13" s="27">
        <f>SUM(B13:E13)</f>
        <v/>
      </c>
      <c r="G13" s="29">
        <f>A13+F13</f>
        <v/>
      </c>
      <c r="H13" s="25">
        <f>IF(A13=0,0,F13/A13)</f>
        <v/>
      </c>
      <c r="I13" s="27">
        <f>$A13*Assumptions!$B$20</f>
        <v/>
      </c>
      <c r="J13" s="27">
        <f>MIN(MIN($A13,Assumptions!$B$17)*Assumptions!$B$21,Assumptions!$B$22)</f>
        <v/>
      </c>
      <c r="K13" s="27">
        <f>MIN(MIN($A13,Assumptions!$B$17)*Assumptions!$B$23,Assumptions!$B$24)</f>
        <v/>
      </c>
      <c r="L13" s="27">
        <f>MAX(0,A13*12-Assumptions!$B$26-MIN(I13*12,Assumptions!$B$27)-Assumptions!$B$28)</f>
        <v/>
      </c>
      <c r="M13" s="27">
        <f>SUMPRODUCT((L13&gt;Assumptions!$A$34:$A$43)*(L13-Assumptions!$A$34:$A$43)*Assumptions!$C$34:$C$43)-IF(L13&lt;=Assumptions!$B$30,MIN(SUMPRODUCT((L13&gt;Assumptions!$A$34:$A$43)*(L13-Assumptions!$A$34:$A$43)*Assumptions!$C$34:$C$43),Assumptions!$B$29),0)</f>
        <v/>
      </c>
      <c r="N13" s="27">
        <f>M13/12</f>
        <v/>
      </c>
      <c r="O13" s="29">
        <f>A13-I13-J13-K13-N13</f>
        <v/>
      </c>
      <c r="P13" s="25">
        <f>IF(A13=0,0,O13/A13)</f>
        <v/>
      </c>
    </row>
    <row r="14">
      <c r="A14" s="29">
        <f>A13+$D$3</f>
        <v/>
      </c>
      <c r="B14" s="27">
        <f>$A14*IF($A14&lt;=Assumptions!$B$12,Assumptions!$B$10,Assumptions!$B$11)</f>
        <v/>
      </c>
      <c r="C14" s="27">
        <f>MIN(MIN($A14,Assumptions!$B$17)*Assumptions!$B$13,Assumptions!$B$14)</f>
        <v/>
      </c>
      <c r="D14" s="27">
        <f>MIN(MIN($A14,Assumptions!$B$17)*Assumptions!$B$15,Assumptions!$B$16)</f>
        <v/>
      </c>
      <c r="E14" s="27">
        <f>$A14*Assumptions!$B$18</f>
        <v/>
      </c>
      <c r="F14" s="27">
        <f>SUM(B14:E14)</f>
        <v/>
      </c>
      <c r="G14" s="29">
        <f>A14+F14</f>
        <v/>
      </c>
      <c r="H14" s="25">
        <f>IF(A14=0,0,F14/A14)</f>
        <v/>
      </c>
      <c r="I14" s="27">
        <f>$A14*Assumptions!$B$20</f>
        <v/>
      </c>
      <c r="J14" s="27">
        <f>MIN(MIN($A14,Assumptions!$B$17)*Assumptions!$B$21,Assumptions!$B$22)</f>
        <v/>
      </c>
      <c r="K14" s="27">
        <f>MIN(MIN($A14,Assumptions!$B$17)*Assumptions!$B$23,Assumptions!$B$24)</f>
        <v/>
      </c>
      <c r="L14" s="27">
        <f>MAX(0,A14*12-Assumptions!$B$26-MIN(I14*12,Assumptions!$B$27)-Assumptions!$B$28)</f>
        <v/>
      </c>
      <c r="M14" s="27">
        <f>SUMPRODUCT((L14&gt;Assumptions!$A$34:$A$43)*(L14-Assumptions!$A$34:$A$43)*Assumptions!$C$34:$C$43)-IF(L14&lt;=Assumptions!$B$30,MIN(SUMPRODUCT((L14&gt;Assumptions!$A$34:$A$43)*(L14-Assumptions!$A$34:$A$43)*Assumptions!$C$34:$C$43),Assumptions!$B$29),0)</f>
        <v/>
      </c>
      <c r="N14" s="27">
        <f>M14/12</f>
        <v/>
      </c>
      <c r="O14" s="29">
        <f>A14-I14-J14-K14-N14</f>
        <v/>
      </c>
      <c r="P14" s="25">
        <f>IF(A14=0,0,O14/A14)</f>
        <v/>
      </c>
    </row>
    <row r="15">
      <c r="A15" s="29">
        <f>A14+$D$3</f>
        <v/>
      </c>
      <c r="B15" s="27">
        <f>$A15*IF($A15&lt;=Assumptions!$B$12,Assumptions!$B$10,Assumptions!$B$11)</f>
        <v/>
      </c>
      <c r="C15" s="27">
        <f>MIN(MIN($A15,Assumptions!$B$17)*Assumptions!$B$13,Assumptions!$B$14)</f>
        <v/>
      </c>
      <c r="D15" s="27">
        <f>MIN(MIN($A15,Assumptions!$B$17)*Assumptions!$B$15,Assumptions!$B$16)</f>
        <v/>
      </c>
      <c r="E15" s="27">
        <f>$A15*Assumptions!$B$18</f>
        <v/>
      </c>
      <c r="F15" s="27">
        <f>SUM(B15:E15)</f>
        <v/>
      </c>
      <c r="G15" s="29">
        <f>A15+F15</f>
        <v/>
      </c>
      <c r="H15" s="25">
        <f>IF(A15=0,0,F15/A15)</f>
        <v/>
      </c>
      <c r="I15" s="27">
        <f>$A15*Assumptions!$B$20</f>
        <v/>
      </c>
      <c r="J15" s="27">
        <f>MIN(MIN($A15,Assumptions!$B$17)*Assumptions!$B$21,Assumptions!$B$22)</f>
        <v/>
      </c>
      <c r="K15" s="27">
        <f>MIN(MIN($A15,Assumptions!$B$17)*Assumptions!$B$23,Assumptions!$B$24)</f>
        <v/>
      </c>
      <c r="L15" s="27">
        <f>MAX(0,A15*12-Assumptions!$B$26-MIN(I15*12,Assumptions!$B$27)-Assumptions!$B$28)</f>
        <v/>
      </c>
      <c r="M15" s="27">
        <f>SUMPRODUCT((L15&gt;Assumptions!$A$34:$A$43)*(L15-Assumptions!$A$34:$A$43)*Assumptions!$C$34:$C$43)-IF(L15&lt;=Assumptions!$B$30,MIN(SUMPRODUCT((L15&gt;Assumptions!$A$34:$A$43)*(L15-Assumptions!$A$34:$A$43)*Assumptions!$C$34:$C$43),Assumptions!$B$29),0)</f>
        <v/>
      </c>
      <c r="N15" s="27">
        <f>M15/12</f>
        <v/>
      </c>
      <c r="O15" s="29">
        <f>A15-I15-J15-K15-N15</f>
        <v/>
      </c>
      <c r="P15" s="25">
        <f>IF(A15=0,0,O15/A15)</f>
        <v/>
      </c>
    </row>
    <row r="16">
      <c r="A16" s="29">
        <f>A15+$D$3</f>
        <v/>
      </c>
      <c r="B16" s="27">
        <f>$A16*IF($A16&lt;=Assumptions!$B$12,Assumptions!$B$10,Assumptions!$B$11)</f>
        <v/>
      </c>
      <c r="C16" s="27">
        <f>MIN(MIN($A16,Assumptions!$B$17)*Assumptions!$B$13,Assumptions!$B$14)</f>
        <v/>
      </c>
      <c r="D16" s="27">
        <f>MIN(MIN($A16,Assumptions!$B$17)*Assumptions!$B$15,Assumptions!$B$16)</f>
        <v/>
      </c>
      <c r="E16" s="27">
        <f>$A16*Assumptions!$B$18</f>
        <v/>
      </c>
      <c r="F16" s="27">
        <f>SUM(B16:E16)</f>
        <v/>
      </c>
      <c r="G16" s="29">
        <f>A16+F16</f>
        <v/>
      </c>
      <c r="H16" s="25">
        <f>IF(A16=0,0,F16/A16)</f>
        <v/>
      </c>
      <c r="I16" s="27">
        <f>$A16*Assumptions!$B$20</f>
        <v/>
      </c>
      <c r="J16" s="27">
        <f>MIN(MIN($A16,Assumptions!$B$17)*Assumptions!$B$21,Assumptions!$B$22)</f>
        <v/>
      </c>
      <c r="K16" s="27">
        <f>MIN(MIN($A16,Assumptions!$B$17)*Assumptions!$B$23,Assumptions!$B$24)</f>
        <v/>
      </c>
      <c r="L16" s="27">
        <f>MAX(0,A16*12-Assumptions!$B$26-MIN(I16*12,Assumptions!$B$27)-Assumptions!$B$28)</f>
        <v/>
      </c>
      <c r="M16" s="27">
        <f>SUMPRODUCT((L16&gt;Assumptions!$A$34:$A$43)*(L16-Assumptions!$A$34:$A$43)*Assumptions!$C$34:$C$43)-IF(L16&lt;=Assumptions!$B$30,MIN(SUMPRODUCT((L16&gt;Assumptions!$A$34:$A$43)*(L16-Assumptions!$A$34:$A$43)*Assumptions!$C$34:$C$43),Assumptions!$B$29),0)</f>
        <v/>
      </c>
      <c r="N16" s="27">
        <f>M16/12</f>
        <v/>
      </c>
      <c r="O16" s="29">
        <f>A16-I16-J16-K16-N16</f>
        <v/>
      </c>
      <c r="P16" s="25">
        <f>IF(A16=0,0,O16/A16)</f>
        <v/>
      </c>
    </row>
    <row r="17">
      <c r="A17" s="29">
        <f>A16+$D$3</f>
        <v/>
      </c>
      <c r="B17" s="27">
        <f>$A17*IF($A17&lt;=Assumptions!$B$12,Assumptions!$B$10,Assumptions!$B$11)</f>
        <v/>
      </c>
      <c r="C17" s="27">
        <f>MIN(MIN($A17,Assumptions!$B$17)*Assumptions!$B$13,Assumptions!$B$14)</f>
        <v/>
      </c>
      <c r="D17" s="27">
        <f>MIN(MIN($A17,Assumptions!$B$17)*Assumptions!$B$15,Assumptions!$B$16)</f>
        <v/>
      </c>
      <c r="E17" s="27">
        <f>$A17*Assumptions!$B$18</f>
        <v/>
      </c>
      <c r="F17" s="27">
        <f>SUM(B17:E17)</f>
        <v/>
      </c>
      <c r="G17" s="29">
        <f>A17+F17</f>
        <v/>
      </c>
      <c r="H17" s="25">
        <f>IF(A17=0,0,F17/A17)</f>
        <v/>
      </c>
      <c r="I17" s="27">
        <f>$A17*Assumptions!$B$20</f>
        <v/>
      </c>
      <c r="J17" s="27">
        <f>MIN(MIN($A17,Assumptions!$B$17)*Assumptions!$B$21,Assumptions!$B$22)</f>
        <v/>
      </c>
      <c r="K17" s="27">
        <f>MIN(MIN($A17,Assumptions!$B$17)*Assumptions!$B$23,Assumptions!$B$24)</f>
        <v/>
      </c>
      <c r="L17" s="27">
        <f>MAX(0,A17*12-Assumptions!$B$26-MIN(I17*12,Assumptions!$B$27)-Assumptions!$B$28)</f>
        <v/>
      </c>
      <c r="M17" s="27">
        <f>SUMPRODUCT((L17&gt;Assumptions!$A$34:$A$43)*(L17-Assumptions!$A$34:$A$43)*Assumptions!$C$34:$C$43)-IF(L17&lt;=Assumptions!$B$30,MIN(SUMPRODUCT((L17&gt;Assumptions!$A$34:$A$43)*(L17-Assumptions!$A$34:$A$43)*Assumptions!$C$34:$C$43),Assumptions!$B$29),0)</f>
        <v/>
      </c>
      <c r="N17" s="27">
        <f>M17/12</f>
        <v/>
      </c>
      <c r="O17" s="29">
        <f>A17-I17-J17-K17-N17</f>
        <v/>
      </c>
      <c r="P17" s="25">
        <f>IF(A17=0,0,O17/A17)</f>
        <v/>
      </c>
    </row>
    <row r="18">
      <c r="A18" s="29">
        <f>A17+$D$3</f>
        <v/>
      </c>
      <c r="B18" s="27">
        <f>$A18*IF($A18&lt;=Assumptions!$B$12,Assumptions!$B$10,Assumptions!$B$11)</f>
        <v/>
      </c>
      <c r="C18" s="27">
        <f>MIN(MIN($A18,Assumptions!$B$17)*Assumptions!$B$13,Assumptions!$B$14)</f>
        <v/>
      </c>
      <c r="D18" s="27">
        <f>MIN(MIN($A18,Assumptions!$B$17)*Assumptions!$B$15,Assumptions!$B$16)</f>
        <v/>
      </c>
      <c r="E18" s="27">
        <f>$A18*Assumptions!$B$18</f>
        <v/>
      </c>
      <c r="F18" s="27">
        <f>SUM(B18:E18)</f>
        <v/>
      </c>
      <c r="G18" s="29">
        <f>A18+F18</f>
        <v/>
      </c>
      <c r="H18" s="25">
        <f>IF(A18=0,0,F18/A18)</f>
        <v/>
      </c>
      <c r="I18" s="27">
        <f>$A18*Assumptions!$B$20</f>
        <v/>
      </c>
      <c r="J18" s="27">
        <f>MIN(MIN($A18,Assumptions!$B$17)*Assumptions!$B$21,Assumptions!$B$22)</f>
        <v/>
      </c>
      <c r="K18" s="27">
        <f>MIN(MIN($A18,Assumptions!$B$17)*Assumptions!$B$23,Assumptions!$B$24)</f>
        <v/>
      </c>
      <c r="L18" s="27">
        <f>MAX(0,A18*12-Assumptions!$B$26-MIN(I18*12,Assumptions!$B$27)-Assumptions!$B$28)</f>
        <v/>
      </c>
      <c r="M18" s="27">
        <f>SUMPRODUCT((L18&gt;Assumptions!$A$34:$A$43)*(L18-Assumptions!$A$34:$A$43)*Assumptions!$C$34:$C$43)-IF(L18&lt;=Assumptions!$B$30,MIN(SUMPRODUCT((L18&gt;Assumptions!$A$34:$A$43)*(L18-Assumptions!$A$34:$A$43)*Assumptions!$C$34:$C$43),Assumptions!$B$29),0)</f>
        <v/>
      </c>
      <c r="N18" s="27">
        <f>M18/12</f>
        <v/>
      </c>
      <c r="O18" s="29">
        <f>A18-I18-J18-K18-N18</f>
        <v/>
      </c>
      <c r="P18" s="25">
        <f>IF(A18=0,0,O18/A18)</f>
        <v/>
      </c>
    </row>
    <row r="19">
      <c r="A19" s="29">
        <f>A18+$D$3</f>
        <v/>
      </c>
      <c r="B19" s="27">
        <f>$A19*IF($A19&lt;=Assumptions!$B$12,Assumptions!$B$10,Assumptions!$B$11)</f>
        <v/>
      </c>
      <c r="C19" s="27">
        <f>MIN(MIN($A19,Assumptions!$B$17)*Assumptions!$B$13,Assumptions!$B$14)</f>
        <v/>
      </c>
      <c r="D19" s="27">
        <f>MIN(MIN($A19,Assumptions!$B$17)*Assumptions!$B$15,Assumptions!$B$16)</f>
        <v/>
      </c>
      <c r="E19" s="27">
        <f>$A19*Assumptions!$B$18</f>
        <v/>
      </c>
      <c r="F19" s="27">
        <f>SUM(B19:E19)</f>
        <v/>
      </c>
      <c r="G19" s="29">
        <f>A19+F19</f>
        <v/>
      </c>
      <c r="H19" s="25">
        <f>IF(A19=0,0,F19/A19)</f>
        <v/>
      </c>
      <c r="I19" s="27">
        <f>$A19*Assumptions!$B$20</f>
        <v/>
      </c>
      <c r="J19" s="27">
        <f>MIN(MIN($A19,Assumptions!$B$17)*Assumptions!$B$21,Assumptions!$B$22)</f>
        <v/>
      </c>
      <c r="K19" s="27">
        <f>MIN(MIN($A19,Assumptions!$B$17)*Assumptions!$B$23,Assumptions!$B$24)</f>
        <v/>
      </c>
      <c r="L19" s="27">
        <f>MAX(0,A19*12-Assumptions!$B$26-MIN(I19*12,Assumptions!$B$27)-Assumptions!$B$28)</f>
        <v/>
      </c>
      <c r="M19" s="27">
        <f>SUMPRODUCT((L19&gt;Assumptions!$A$34:$A$43)*(L19-Assumptions!$A$34:$A$43)*Assumptions!$C$34:$C$43)-IF(L19&lt;=Assumptions!$B$30,MIN(SUMPRODUCT((L19&gt;Assumptions!$A$34:$A$43)*(L19-Assumptions!$A$34:$A$43)*Assumptions!$C$34:$C$43),Assumptions!$B$29),0)</f>
        <v/>
      </c>
      <c r="N19" s="27">
        <f>M19/12</f>
        <v/>
      </c>
      <c r="O19" s="29">
        <f>A19-I19-J19-K19-N19</f>
        <v/>
      </c>
      <c r="P19" s="25">
        <f>IF(A19=0,0,O19/A19)</f>
        <v/>
      </c>
    </row>
    <row r="20">
      <c r="A20" s="29">
        <f>A19+$D$3</f>
        <v/>
      </c>
      <c r="B20" s="27">
        <f>$A20*IF($A20&lt;=Assumptions!$B$12,Assumptions!$B$10,Assumptions!$B$11)</f>
        <v/>
      </c>
      <c r="C20" s="27">
        <f>MIN(MIN($A20,Assumptions!$B$17)*Assumptions!$B$13,Assumptions!$B$14)</f>
        <v/>
      </c>
      <c r="D20" s="27">
        <f>MIN(MIN($A20,Assumptions!$B$17)*Assumptions!$B$15,Assumptions!$B$16)</f>
        <v/>
      </c>
      <c r="E20" s="27">
        <f>$A20*Assumptions!$B$18</f>
        <v/>
      </c>
      <c r="F20" s="27">
        <f>SUM(B20:E20)</f>
        <v/>
      </c>
      <c r="G20" s="29">
        <f>A20+F20</f>
        <v/>
      </c>
      <c r="H20" s="25">
        <f>IF(A20=0,0,F20/A20)</f>
        <v/>
      </c>
      <c r="I20" s="27">
        <f>$A20*Assumptions!$B$20</f>
        <v/>
      </c>
      <c r="J20" s="27">
        <f>MIN(MIN($A20,Assumptions!$B$17)*Assumptions!$B$21,Assumptions!$B$22)</f>
        <v/>
      </c>
      <c r="K20" s="27">
        <f>MIN(MIN($A20,Assumptions!$B$17)*Assumptions!$B$23,Assumptions!$B$24)</f>
        <v/>
      </c>
      <c r="L20" s="27">
        <f>MAX(0,A20*12-Assumptions!$B$26-MIN(I20*12,Assumptions!$B$27)-Assumptions!$B$28)</f>
        <v/>
      </c>
      <c r="M20" s="27">
        <f>SUMPRODUCT((L20&gt;Assumptions!$A$34:$A$43)*(L20-Assumptions!$A$34:$A$43)*Assumptions!$C$34:$C$43)-IF(L20&lt;=Assumptions!$B$30,MIN(SUMPRODUCT((L20&gt;Assumptions!$A$34:$A$43)*(L20-Assumptions!$A$34:$A$43)*Assumptions!$C$34:$C$43),Assumptions!$B$29),0)</f>
        <v/>
      </c>
      <c r="N20" s="27">
        <f>M20/12</f>
        <v/>
      </c>
      <c r="O20" s="29">
        <f>A20-I20-J20-K20-N20</f>
        <v/>
      </c>
      <c r="P20" s="25">
        <f>IF(A20=0,0,O20/A20)</f>
        <v/>
      </c>
    </row>
    <row r="21">
      <c r="A21" s="29">
        <f>A20+$D$3</f>
        <v/>
      </c>
      <c r="B21" s="27">
        <f>$A21*IF($A21&lt;=Assumptions!$B$12,Assumptions!$B$10,Assumptions!$B$11)</f>
        <v/>
      </c>
      <c r="C21" s="27">
        <f>MIN(MIN($A21,Assumptions!$B$17)*Assumptions!$B$13,Assumptions!$B$14)</f>
        <v/>
      </c>
      <c r="D21" s="27">
        <f>MIN(MIN($A21,Assumptions!$B$17)*Assumptions!$B$15,Assumptions!$B$16)</f>
        <v/>
      </c>
      <c r="E21" s="27">
        <f>$A21*Assumptions!$B$18</f>
        <v/>
      </c>
      <c r="F21" s="27">
        <f>SUM(B21:E21)</f>
        <v/>
      </c>
      <c r="G21" s="29">
        <f>A21+F21</f>
        <v/>
      </c>
      <c r="H21" s="25">
        <f>IF(A21=0,0,F21/A21)</f>
        <v/>
      </c>
      <c r="I21" s="27">
        <f>$A21*Assumptions!$B$20</f>
        <v/>
      </c>
      <c r="J21" s="27">
        <f>MIN(MIN($A21,Assumptions!$B$17)*Assumptions!$B$21,Assumptions!$B$22)</f>
        <v/>
      </c>
      <c r="K21" s="27">
        <f>MIN(MIN($A21,Assumptions!$B$17)*Assumptions!$B$23,Assumptions!$B$24)</f>
        <v/>
      </c>
      <c r="L21" s="27">
        <f>MAX(0,A21*12-Assumptions!$B$26-MIN(I21*12,Assumptions!$B$27)-Assumptions!$B$28)</f>
        <v/>
      </c>
      <c r="M21" s="27">
        <f>SUMPRODUCT((L21&gt;Assumptions!$A$34:$A$43)*(L21-Assumptions!$A$34:$A$43)*Assumptions!$C$34:$C$43)-IF(L21&lt;=Assumptions!$B$30,MIN(SUMPRODUCT((L21&gt;Assumptions!$A$34:$A$43)*(L21-Assumptions!$A$34:$A$43)*Assumptions!$C$34:$C$43),Assumptions!$B$29),0)</f>
        <v/>
      </c>
      <c r="N21" s="27">
        <f>M21/12</f>
        <v/>
      </c>
      <c r="O21" s="29">
        <f>A21-I21-J21-K21-N21</f>
        <v/>
      </c>
      <c r="P21" s="25">
        <f>IF(A21=0,0,O21/A21)</f>
        <v/>
      </c>
    </row>
    <row r="22">
      <c r="A22" s="29">
        <f>A21+$D$3</f>
        <v/>
      </c>
      <c r="B22" s="27">
        <f>$A22*IF($A22&lt;=Assumptions!$B$12,Assumptions!$B$10,Assumptions!$B$11)</f>
        <v/>
      </c>
      <c r="C22" s="27">
        <f>MIN(MIN($A22,Assumptions!$B$17)*Assumptions!$B$13,Assumptions!$B$14)</f>
        <v/>
      </c>
      <c r="D22" s="27">
        <f>MIN(MIN($A22,Assumptions!$B$17)*Assumptions!$B$15,Assumptions!$B$16)</f>
        <v/>
      </c>
      <c r="E22" s="27">
        <f>$A22*Assumptions!$B$18</f>
        <v/>
      </c>
      <c r="F22" s="27">
        <f>SUM(B22:E22)</f>
        <v/>
      </c>
      <c r="G22" s="29">
        <f>A22+F22</f>
        <v/>
      </c>
      <c r="H22" s="25">
        <f>IF(A22=0,0,F22/A22)</f>
        <v/>
      </c>
      <c r="I22" s="27">
        <f>$A22*Assumptions!$B$20</f>
        <v/>
      </c>
      <c r="J22" s="27">
        <f>MIN(MIN($A22,Assumptions!$B$17)*Assumptions!$B$21,Assumptions!$B$22)</f>
        <v/>
      </c>
      <c r="K22" s="27">
        <f>MIN(MIN($A22,Assumptions!$B$17)*Assumptions!$B$23,Assumptions!$B$24)</f>
        <v/>
      </c>
      <c r="L22" s="27">
        <f>MAX(0,A22*12-Assumptions!$B$26-MIN(I22*12,Assumptions!$B$27)-Assumptions!$B$28)</f>
        <v/>
      </c>
      <c r="M22" s="27">
        <f>SUMPRODUCT((L22&gt;Assumptions!$A$34:$A$43)*(L22-Assumptions!$A$34:$A$43)*Assumptions!$C$34:$C$43)-IF(L22&lt;=Assumptions!$B$30,MIN(SUMPRODUCT((L22&gt;Assumptions!$A$34:$A$43)*(L22-Assumptions!$A$34:$A$43)*Assumptions!$C$34:$C$43),Assumptions!$B$29),0)</f>
        <v/>
      </c>
      <c r="N22" s="27">
        <f>M22/12</f>
        <v/>
      </c>
      <c r="O22" s="29">
        <f>A22-I22-J22-K22-N22</f>
        <v/>
      </c>
      <c r="P22" s="25">
        <f>IF(A22=0,0,O22/A22)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2026-10-09T14:01:12Z</dcterms:created>
  <dcterms:modified xsi:type="dcterms:W3CDTF">2026-10-09T14:01:12Z</dcterms:modified>
</cp:coreProperties>
</file>